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005c55f29642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5d943df9ab1d4f4d"/>
    <x:sheet xmlns:r="http://schemas.openxmlformats.org/officeDocument/2006/relationships" name="Animation Catalog" sheetId="2" r:id="R9385679c52d44e1f"/>
    <x:sheet xmlns:r="http://schemas.openxmlformats.org/officeDocument/2006/relationships" name="Event Matrix" sheetId="3" r:id="R362e75cb19214b38"/>
    <x:sheet xmlns:r="http://schemas.openxmlformats.org/officeDocument/2006/relationships" name="Asset Register" sheetId="4" r:id="Ra2e0bdec3b664737"/>
    <x:sheet xmlns:r="http://schemas.openxmlformats.org/officeDocument/2006/relationships" name="Palette &amp; FX" sheetId="5" r:id="R79aa8b86b8d64592"/>
    <x:sheet xmlns:r="http://schemas.openxmlformats.org/officeDocument/2006/relationships" name="Implementation Roadmap" sheetId="6" r:id="R3fedc15622354ca6"/>
    <x:sheet xmlns:r="http://schemas.openxmlformats.org/officeDocument/2006/relationships" name="QA &amp; Acceptance" sheetId="7" r:id="Ref94da19d76843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3">
    <x:font>
      <x:sz val="11"/>
      <x:name val="Carlito"/>
    </x:font>
    <x:font>
      <x:b/>
      <x:sz val="20"/>
      <x:color rgb="FFFFFFFF"/>
      <x:name val="Carlito"/>
    </x:font>
    <x:font>
      <x:i/>
      <x:sz val="10"/>
      <x:color rgb="FF9BA8BD"/>
      <x:name val="Carlito"/>
    </x:font>
    <x:font>
      <x:b/>
      <x:sz val="10"/>
      <x:color rgb="FFFFFFFF"/>
      <x:name val="Carlito"/>
    </x:font>
    <x:font>
      <x:sz val="10"/>
      <x:color rgb="FFEAF2FF"/>
      <x:name val="Carlito"/>
    </x:font>
    <x:font>
      <x:sz val="11"/>
      <x:color rgb="FFEAF2FF"/>
      <x:name val="Carlito"/>
    </x:font>
    <x:font>
      <x:b/>
      <x:sz val="12"/>
      <x:color rgb="FFFF2DAA"/>
      <x:name val="Carlito"/>
    </x:font>
    <x:font>
      <x:b/>
      <x:sz val="11"/>
      <x:color rgb="FFFFFFFF"/>
      <x:name val="Carlito"/>
    </x:font>
    <x:font>
      <x:b/>
      <x:sz val="10"/>
      <x:color rgb="FFEAF2FF"/>
      <x:name val="Carlito"/>
    </x:font>
    <x:font>
      <x:sz val="9"/>
      <x:color rgb="FFEAF2FF"/>
      <x:name val="Carlito"/>
    </x:font>
    <x:font>
      <x:b/>
      <x:sz val="9"/>
      <x:color rgb="FF05060A"/>
      <x:name val="Carlito"/>
    </x:font>
    <x:font>
      <x:b/>
      <x:sz val="20"/>
      <x:color rgb="FFFFFFFF"/>
      <x:name val="Aptos Display"/>
    </x:font>
    <x:font>
      <x:b/>
      <x:i/>
      <x:sz val="10"/>
      <x:color rgb="FFFFFFFF"/>
      <x:name val="Aptos Display"/>
    </x:font>
  </x:fonts>
  <x:fills count="19">
    <x:fill>
      <x:patternFill patternType="none"/>
    </x:fill>
    <x:fill>
      <x:patternFill patternType="gray125"/>
    </x:fill>
    <x:fill>
      <x:patternFill patternType="solid">
        <x:fgColor rgb="FF05060A"/>
      </x:patternFill>
    </x:fill>
    <x:fill>
      <x:patternFill patternType="solid">
        <x:fgColor rgb="FF5B21B6"/>
      </x:patternFill>
    </x:fill>
    <x:fill>
      <x:patternFill patternType="solid">
        <x:fgColor rgb="FF111522"/>
      </x:patternFill>
    </x:fill>
    <x:fill>
      <x:patternFill patternType="solid">
        <x:fgColor rgb="FF171C2B"/>
      </x:patternFill>
    </x:fill>
    <x:fill>
      <x:patternFill patternType="solid">
        <x:fgColor rgb="FF27112B"/>
      </x:patternFill>
    </x:fill>
    <x:fill>
      <x:patternFill patternType="solid">
        <x:fgColor rgb="FF2A2111"/>
      </x:patternFill>
    </x:fill>
    <x:fill>
      <x:patternFill patternType="solid">
        <x:fgColor rgb="FF102432"/>
      </x:patternFill>
    </x:fill>
    <x:fill>
      <x:patternFill patternType="solid">
        <x:fgColor rgb="FF17111F"/>
      </x:patternFill>
    </x:fill>
    <x:fill>
      <x:patternFill patternType="solid">
        <x:fgColor rgb="FF101D28"/>
      </x:patternFill>
    </x:fill>
    <x:fill>
      <x:patternFill patternType="solid">
        <x:fgColor rgb="FFFF2DAA"/>
      </x:patternFill>
    </x:fill>
    <x:fill>
      <x:patternFill patternType="solid">
        <x:fgColor rgb="FFA855F7"/>
      </x:patternFill>
    </x:fill>
    <x:fill>
      <x:patternFill patternType="solid">
        <x:fgColor rgb="FFE58A3A"/>
      </x:patternFill>
    </x:fill>
    <x:fill>
      <x:patternFill patternType="solid">
        <x:fgColor rgb="FFF2B84B"/>
      </x:patternFill>
    </x:fill>
    <x:fill>
      <x:patternFill patternType="solid">
        <x:fgColor rgb="FFFFE0A3"/>
      </x:patternFill>
    </x:fill>
    <x:fill>
      <x:patternFill patternType="solid">
        <x:fgColor rgb="FFDFF7FF"/>
      </x:patternFill>
    </x:fill>
    <x:fill>
      <x:patternFill patternType="solid">
        <x:fgColor rgb="FF8DE3FF"/>
      </x:patternFill>
    </x:fill>
    <x:fill>
      <x:patternFill patternType="solid">
        <x:fgColor rgb="FF45BFFF"/>
      </x:patternFill>
    </x:fill>
  </x:fills>
  <x:borders count="34">
    <x:border/>
    <x:border>
      <x:bottom style="medium">
        <x:color rgb="FFFF2DAA"/>
      </x:bottom>
    </x:border>
    <x:border>
      <x:left style="thin">
        <x:color rgb="FF30384C"/>
      </x:left>
      <x:top style="thin">
        <x:color rgb="FF30384C"/>
      </x:top>
    </x:border>
    <x:border>
      <x:top style="thin">
        <x:color rgb="FF30384C"/>
      </x:top>
    </x:border>
    <x:border>
      <x:right style="thin">
        <x:color rgb="FF30384C"/>
      </x:right>
      <x:top style="thin">
        <x:color rgb="FF30384C"/>
      </x:top>
    </x:border>
    <x:border>
      <x:left style="thin">
        <x:color rgb="FF30384C"/>
      </x:left>
    </x:border>
    <x:border>
      <x:right style="thin">
        <x:color rgb="FF30384C"/>
      </x:right>
    </x:border>
    <x:border>
      <x:left style="thin">
        <x:color rgb="FF30384C"/>
      </x:left>
      <x:bottom style="thin">
        <x:color rgb="FF30384C"/>
      </x:bottom>
    </x:border>
    <x:border>
      <x:bottom style="thin">
        <x:color rgb="FF30384C"/>
      </x:bottom>
    </x:border>
    <x:border>
      <x:right style="thin">
        <x:color rgb="FF30384C"/>
      </x:right>
      <x:bottom style="thin">
        <x:color rgb="FF30384C"/>
      </x:bottom>
    </x:border>
    <x:border>
      <x:left style="medium">
        <x:color rgb="FFFF2DAA"/>
      </x:left>
      <x:top style="medium">
        <x:color rgb="FFFF2DAA"/>
      </x:top>
    </x:border>
    <x:border>
      <x:top style="medium">
        <x:color rgb="FFFF2DAA"/>
      </x:top>
    </x:border>
    <x:border>
      <x:right style="medium">
        <x:color rgb="FFFF2DAA"/>
      </x:right>
      <x:top style="medium">
        <x:color rgb="FFFF2DAA"/>
      </x:top>
    </x:border>
    <x:border>
      <x:left style="medium">
        <x:color rgb="FFFF2DAA"/>
      </x:left>
    </x:border>
    <x:border>
      <x:right style="medium">
        <x:color rgb="FFFF2DAA"/>
      </x:right>
    </x:border>
    <x:border>
      <x:left style="medium">
        <x:color rgb="FFFF2DAA"/>
      </x:left>
      <x:bottom style="medium">
        <x:color rgb="FFFF2DAA"/>
      </x:bottom>
    </x:border>
    <x:border>
      <x:right style="medium">
        <x:color rgb="FFFF2DAA"/>
      </x:right>
      <x:bottom style="medium">
        <x:color rgb="FFFF2DAA"/>
      </x:bottom>
    </x:border>
    <x:border>
      <x:left style="medium">
        <x:color rgb="FFF2B84B"/>
      </x:left>
      <x:top style="medium">
        <x:color rgb="FFF2B84B"/>
      </x:top>
    </x:border>
    <x:border>
      <x:top style="medium">
        <x:color rgb="FFF2B84B"/>
      </x:top>
    </x:border>
    <x:border>
      <x:right style="medium">
        <x:color rgb="FFF2B84B"/>
      </x:right>
      <x:top style="medium">
        <x:color rgb="FFF2B84B"/>
      </x:top>
    </x:border>
    <x:border>
      <x:left style="medium">
        <x:color rgb="FFF2B84B"/>
      </x:left>
    </x:border>
    <x:border>
      <x:right style="medium">
        <x:color rgb="FFF2B84B"/>
      </x:right>
    </x:border>
    <x:border>
      <x:left style="medium">
        <x:color rgb="FFF2B84B"/>
      </x:left>
      <x:bottom style="medium">
        <x:color rgb="FFF2B84B"/>
      </x:bottom>
    </x:border>
    <x:border>
      <x:bottom style="medium">
        <x:color rgb="FFF2B84B"/>
      </x:bottom>
    </x:border>
    <x:border>
      <x:right style="medium">
        <x:color rgb="FFF2B84B"/>
      </x:right>
      <x:bottom style="medium">
        <x:color rgb="FFF2B84B"/>
      </x:bottom>
    </x:border>
    <x:border>
      <x:left style="medium">
        <x:color rgb="FF8DE3FF"/>
      </x:left>
      <x:top style="medium">
        <x:color rgb="FF8DE3FF"/>
      </x:top>
    </x:border>
    <x:border>
      <x:top style="medium">
        <x:color rgb="FF8DE3FF"/>
      </x:top>
    </x:border>
    <x:border>
      <x:right style="medium">
        <x:color rgb="FF8DE3FF"/>
      </x:right>
      <x:top style="medium">
        <x:color rgb="FF8DE3FF"/>
      </x:top>
    </x:border>
    <x:border>
      <x:left style="medium">
        <x:color rgb="FF8DE3FF"/>
      </x:left>
    </x:border>
    <x:border>
      <x:right style="medium">
        <x:color rgb="FF8DE3FF"/>
      </x:right>
    </x:border>
    <x:border>
      <x:left style="medium">
        <x:color rgb="FF8DE3FF"/>
      </x:left>
      <x:bottom style="medium">
        <x:color rgb="FF8DE3FF"/>
      </x:bottom>
    </x:border>
    <x:border>
      <x:bottom style="medium">
        <x:color rgb="FF8DE3FF"/>
      </x:bottom>
    </x:border>
    <x:border>
      <x:right style="medium">
        <x:color rgb="FF8DE3FF"/>
      </x:right>
      <x:bottom style="medium">
        <x:color rgb="FF8DE3FF"/>
      </x:bottom>
    </x:border>
    <x:border>
      <x:top style="thin">
        <x:color rgb="FF30384C"/>
      </x:top>
      <x:bottom style="thin">
        <x:color rgb="FF30384C"/>
      </x:bottom>
    </x:border>
  </x:borders>
  <x:cellStyleXfs count="1">
    <x:xf numFmtId="0" fontId="0" fillId="0" borderId="0"/>
  </x:cellStyleXfs>
  <x:cellXfs count="24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2" xfId="0" applyNumberFormat="1" applyFont="1" applyFill="1" applyBorder="1"/>
    <x:xf numFmtId="0" fontId="4" fillId="4" borderId="3" xfId="0" applyNumberFormat="1" applyFont="1" applyFill="1" applyBorder="1"/>
    <x:xf numFmtId="0" fontId="4" fillId="4" borderId="4" xfId="0" applyNumberFormat="1" applyFont="1" applyFill="1" applyBorder="1"/>
    <x:xf numFmtId="0" fontId="4" fillId="4" borderId="5" xfId="0" applyNumberFormat="1" applyFont="1" applyFill="1" applyBorder="1"/>
    <x:xf numFmtId="0" fontId="4" fillId="4" borderId="6" xfId="0" applyNumberFormat="1" applyFont="1" applyFill="1" applyBorder="1"/>
    <x:xf numFmtId="0" fontId="4" fillId="4" borderId="7" xfId="0" applyNumberFormat="1" applyFont="1" applyFill="1" applyBorder="1"/>
    <x:xf numFmtId="0" fontId="4" fillId="4" borderId="8" xfId="0" applyNumberFormat="1" applyFont="1" applyFill="1" applyBorder="1"/>
    <x:xf numFmtId="0" fontId="4" fillId="4" borderId="9" xfId="0" applyNumberFormat="1" applyFont="1" applyFill="1" applyBorder="1"/>
    <x:xf numFmtId="0" fontId="4" fillId="4" borderId="2" xfId="0" applyNumberFormat="1" applyFont="1" applyFill="1" applyBorder="1" applyAlignment="1">
      <x:alignment wrapText="1"/>
    </x:xf>
    <x:xf numFmtId="0" fontId="4" fillId="4" borderId="3" xfId="0" applyNumberFormat="1" applyFont="1" applyFill="1" applyBorder="1" applyAlignment="1">
      <x:alignment wrapText="1"/>
    </x:xf>
    <x:xf numFmtId="0" fontId="4" fillId="4" borderId="4" xfId="0" applyNumberFormat="1" applyFont="1" applyFill="1" applyBorder="1" applyAlignment="1">
      <x:alignment wrapText="1"/>
    </x:xf>
    <x:xf numFmtId="0" fontId="4" fillId="4" borderId="5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wrapText="1"/>
    </x:xf>
    <x:xf numFmtId="0" fontId="4" fillId="4" borderId="6" xfId="0" applyNumberFormat="1" applyFont="1" applyFill="1" applyBorder="1" applyAlignment="1">
      <x:alignment wrapText="1"/>
    </x:xf>
    <x:xf numFmtId="0" fontId="4" fillId="4" borderId="7" xfId="0" applyNumberFormat="1" applyFont="1" applyFill="1" applyBorder="1" applyAlignment="1">
      <x:alignment wrapText="1"/>
    </x:xf>
    <x:xf numFmtId="0" fontId="4" fillId="4" borderId="8" xfId="0" applyNumberFormat="1" applyFont="1" applyFill="1" applyBorder="1" applyAlignment="1">
      <x:alignment wrapText="1"/>
    </x:xf>
    <x:xf numFmtId="0" fontId="4" fillId="4" borderId="9" xfId="0" applyNumberFormat="1" applyFont="1" applyFill="1" applyBorder="1" applyAlignment="1">
      <x:alignment wrapText="1"/>
    </x:xf>
    <x:xf numFmtId="0" fontId="5" fillId="4" borderId="2" xfId="0" applyNumberFormat="1" applyFont="1" applyFill="1" applyBorder="1" applyAlignment="1">
      <x:alignment wrapText="1"/>
    </x:xf>
    <x:xf numFmtId="0" fontId="5" fillId="4" borderId="3" xfId="0" applyNumberFormat="1" applyFont="1" applyFill="1" applyBorder="1" applyAlignment="1">
      <x:alignment wrapText="1"/>
    </x:xf>
    <x:xf numFmtId="0" fontId="5" fillId="4" borderId="4" xfId="0" applyNumberFormat="1" applyFont="1" applyFill="1" applyBorder="1" applyAlignment="1">
      <x:alignment wrapText="1"/>
    </x:xf>
    <x:xf numFmtId="0" fontId="5" fillId="4" borderId="5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wrapText="1"/>
    </x:xf>
    <x:xf numFmtId="0" fontId="5" fillId="4" borderId="6" xfId="0" applyNumberFormat="1" applyFont="1" applyFill="1" applyBorder="1" applyAlignment="1">
      <x:alignment wrapText="1"/>
    </x:xf>
    <x:xf numFmtId="0" fontId="5" fillId="4" borderId="7" xfId="0" applyNumberFormat="1" applyFont="1" applyFill="1" applyBorder="1" applyAlignment="1">
      <x:alignment wrapText="1"/>
    </x:xf>
    <x:xf numFmtId="0" fontId="5" fillId="4" borderId="8" xfId="0" applyNumberFormat="1" applyFont="1" applyFill="1" applyBorder="1" applyAlignment="1">
      <x:alignment wrapText="1"/>
    </x:xf>
    <x:xf numFmtId="0" fontId="5" fillId="4" borderId="9" xfId="0" applyNumberFormat="1" applyFont="1" applyFill="1" applyBorder="1" applyAlignment="1">
      <x:alignment wrapText="1"/>
    </x:xf>
    <x:xf numFmtId="0" fontId="5" fillId="4" borderId="2" xfId="0" applyNumberFormat="1" applyFont="1" applyFill="1" applyBorder="1" applyAlignment="1">
      <x:alignment vertical="center" wrapText="1"/>
    </x:xf>
    <x:xf numFmtId="0" fontId="5" fillId="4" borderId="3" xfId="0" applyNumberFormat="1" applyFont="1" applyFill="1" applyBorder="1" applyAlignment="1">
      <x:alignment vertical="center" wrapText="1"/>
    </x:xf>
    <x:xf numFmtId="0" fontId="5" fillId="4" borderId="4" xfId="0" applyNumberFormat="1" applyFont="1" applyFill="1" applyBorder="1" applyAlignment="1">
      <x:alignment vertical="center" wrapText="1"/>
    </x:xf>
    <x:xf numFmtId="0" fontId="5" fillId="4" borderId="5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 applyAlignment="1">
      <x:alignment vertical="center" wrapText="1"/>
    </x:xf>
    <x:xf numFmtId="0" fontId="5" fillId="4" borderId="6" xfId="0" applyNumberFormat="1" applyFont="1" applyFill="1" applyBorder="1" applyAlignment="1">
      <x:alignment vertical="center" wrapText="1"/>
    </x:xf>
    <x:xf numFmtId="0" fontId="5" fillId="4" borderId="7" xfId="0" applyNumberFormat="1" applyFont="1" applyFill="1" applyBorder="1" applyAlignment="1">
      <x:alignment vertical="center" wrapText="1"/>
    </x:xf>
    <x:xf numFmtId="0" fontId="5" fillId="4" borderId="8" xfId="0" applyNumberFormat="1" applyFont="1" applyFill="1" applyBorder="1" applyAlignment="1">
      <x:alignment vertical="center" wrapText="1"/>
    </x:xf>
    <x:xf numFmtId="0" fontId="5" fillId="4" borderId="9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1" xfId="0" applyNumberFormat="1" applyFont="1" applyFill="1" applyBorder="1"/>
    <x:xf numFmtId="0" fontId="6" fillId="5" borderId="1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10" xfId="0" applyNumberFormat="1" applyFont="1" applyFill="1" applyBorder="1"/>
    <x:xf numFmtId="0" fontId="7" fillId="6" borderId="11" xfId="0" applyNumberFormat="1" applyFont="1" applyFill="1" applyBorder="1"/>
    <x:xf numFmtId="0" fontId="7" fillId="6" borderId="12" xfId="0" applyNumberFormat="1" applyFont="1" applyFill="1" applyBorder="1"/>
    <x:xf numFmtId="0" fontId="7" fillId="6" borderId="13" xfId="0" applyNumberFormat="1" applyFont="1" applyFill="1" applyBorder="1"/>
    <x:xf numFmtId="0" fontId="7" fillId="6" borderId="14" xfId="0" applyNumberFormat="1" applyFont="1" applyFill="1" applyBorder="1"/>
    <x:xf numFmtId="0" fontId="7" fillId="6" borderId="15" xfId="0" applyNumberFormat="1" applyFont="1" applyFill="1" applyBorder="1"/>
    <x:xf numFmtId="0" fontId="7" fillId="6" borderId="1" xfId="0" applyNumberFormat="1" applyFont="1" applyFill="1" applyBorder="1"/>
    <x:xf numFmtId="0" fontId="7" fillId="6" borderId="16" xfId="0" applyNumberFormat="1" applyFont="1" applyFill="1" applyBorder="1"/>
    <x:xf numFmtId="0" fontId="7" fillId="6" borderId="10" xfId="0" applyNumberFormat="1" applyFont="1" applyFill="1" applyBorder="1" applyAlignment="1">
      <x:alignment wrapText="1"/>
    </x:xf>
    <x:xf numFmtId="0" fontId="7" fillId="6" borderId="11" xfId="0" applyNumberFormat="1" applyFont="1" applyFill="1" applyBorder="1" applyAlignment="1">
      <x:alignment wrapText="1"/>
    </x:xf>
    <x:xf numFmtId="0" fontId="7" fillId="6" borderId="12" xfId="0" applyNumberFormat="1" applyFont="1" applyFill="1" applyBorder="1" applyAlignment="1">
      <x:alignment wrapText="1"/>
    </x:xf>
    <x:xf numFmtId="0" fontId="7" fillId="6" borderId="13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wrapText="1"/>
    </x:xf>
    <x:xf numFmtId="0" fontId="7" fillId="6" borderId="14" xfId="0" applyNumberFormat="1" applyFont="1" applyFill="1" applyBorder="1" applyAlignment="1">
      <x:alignment wrapText="1"/>
    </x:xf>
    <x:xf numFmtId="0" fontId="7" fillId="6" borderId="15" xfId="0" applyNumberFormat="1" applyFont="1" applyFill="1" applyBorder="1" applyAlignment="1">
      <x:alignment wrapText="1"/>
    </x:xf>
    <x:xf numFmtId="0" fontId="7" fillId="6" borderId="1" xfId="0" applyNumberFormat="1" applyFont="1" applyFill="1" applyBorder="1" applyAlignment="1">
      <x:alignment wrapText="1"/>
    </x:xf>
    <x:xf numFmtId="0" fontId="7" fillId="6" borderId="16" xfId="0" applyNumberFormat="1" applyFont="1" applyFill="1" applyBorder="1" applyAlignment="1">
      <x:alignment wrapText="1"/>
    </x:xf>
    <x:xf numFmtId="0" fontId="7" fillId="6" borderId="10" xfId="0" applyNumberFormat="1" applyFont="1" applyFill="1" applyBorder="1" applyAlignment="1">
      <x:alignment vertical="center" wrapText="1"/>
    </x:xf>
    <x:xf numFmtId="0" fontId="7" fillId="6" borderId="11" xfId="0" applyNumberFormat="1" applyFont="1" applyFill="1" applyBorder="1" applyAlignment="1">
      <x:alignment vertical="center" wrapText="1"/>
    </x:xf>
    <x:xf numFmtId="0" fontId="7" fillId="6" borderId="12" xfId="0" applyNumberFormat="1" applyFont="1" applyFill="1" applyBorder="1" applyAlignment="1">
      <x:alignment vertical="center" wrapText="1"/>
    </x:xf>
    <x:xf numFmtId="0" fontId="7" fillId="6" borderId="13" xfId="0" applyNumberFormat="1" applyFont="1" applyFill="1" applyBorder="1" applyAlignment="1">
      <x:alignment vertical="center" wrapText="1"/>
    </x:xf>
    <x:xf numFmtId="0" fontId="7" fillId="6" borderId="0" xfId="0" applyNumberFormat="1" applyFont="1" applyFill="1" applyBorder="1" applyAlignment="1">
      <x:alignment vertical="center" wrapText="1"/>
    </x:xf>
    <x:xf numFmtId="0" fontId="7" fillId="6" borderId="14" xfId="0" applyNumberFormat="1" applyFont="1" applyFill="1" applyBorder="1" applyAlignment="1">
      <x:alignment vertical="center" wrapText="1"/>
    </x:xf>
    <x:xf numFmtId="0" fontId="7" fillId="6" borderId="15" xfId="0" applyNumberFormat="1" applyFont="1" applyFill="1" applyBorder="1" applyAlignment="1">
      <x:alignment vertical="center" wrapText="1"/>
    </x:xf>
    <x:xf numFmtId="0" fontId="7" fillId="6" borderId="1" xfId="0" applyNumberFormat="1" applyFont="1" applyFill="1" applyBorder="1" applyAlignment="1">
      <x:alignment vertical="center" wrapText="1"/>
    </x:xf>
    <x:xf numFmtId="0" fontId="7" fillId="6" borderId="16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17" xfId="0" applyNumberFormat="1" applyFont="1" applyFill="1" applyBorder="1"/>
    <x:xf numFmtId="0" fontId="7" fillId="7" borderId="18" xfId="0" applyNumberFormat="1" applyFont="1" applyFill="1" applyBorder="1"/>
    <x:xf numFmtId="0" fontId="7" fillId="7" borderId="19" xfId="0" applyNumberFormat="1" applyFont="1" applyFill="1" applyBorder="1"/>
    <x:xf numFmtId="0" fontId="7" fillId="7" borderId="20" xfId="0" applyNumberFormat="1" applyFont="1" applyFill="1" applyBorder="1"/>
    <x:xf numFmtId="0" fontId="7" fillId="7" borderId="21" xfId="0" applyNumberFormat="1" applyFont="1" applyFill="1" applyBorder="1"/>
    <x:xf numFmtId="0" fontId="7" fillId="7" borderId="22" xfId="0" applyNumberFormat="1" applyFont="1" applyFill="1" applyBorder="1"/>
    <x:xf numFmtId="0" fontId="7" fillId="7" borderId="23" xfId="0" applyNumberFormat="1" applyFont="1" applyFill="1" applyBorder="1"/>
    <x:xf numFmtId="0" fontId="7" fillId="7" borderId="24" xfId="0" applyNumberFormat="1" applyFont="1" applyFill="1" applyBorder="1"/>
    <x:xf numFmtId="0" fontId="7" fillId="7" borderId="17" xfId="0" applyNumberFormat="1" applyFont="1" applyFill="1" applyBorder="1" applyAlignment="1">
      <x:alignment wrapText="1"/>
    </x:xf>
    <x:xf numFmtId="0" fontId="7" fillId="7" borderId="18" xfId="0" applyNumberFormat="1" applyFont="1" applyFill="1" applyBorder="1" applyAlignment="1">
      <x:alignment wrapText="1"/>
    </x:xf>
    <x:xf numFmtId="0" fontId="7" fillId="7" borderId="19" xfId="0" applyNumberFormat="1" applyFont="1" applyFill="1" applyBorder="1" applyAlignment="1">
      <x:alignment wrapText="1"/>
    </x:xf>
    <x:xf numFmtId="0" fontId="7" fillId="7" borderId="20" xfId="0" applyNumberFormat="1" applyFont="1" applyFill="1" applyBorder="1" applyAlignment="1">
      <x:alignment wrapText="1"/>
    </x:xf>
    <x:xf numFmtId="0" fontId="7" fillId="7" borderId="0" xfId="0" applyNumberFormat="1" applyFont="1" applyFill="1" applyBorder="1" applyAlignment="1">
      <x:alignment wrapText="1"/>
    </x:xf>
    <x:xf numFmtId="0" fontId="7" fillId="7" borderId="21" xfId="0" applyNumberFormat="1" applyFont="1" applyFill="1" applyBorder="1" applyAlignment="1">
      <x:alignment wrapText="1"/>
    </x:xf>
    <x:xf numFmtId="0" fontId="7" fillId="7" borderId="22" xfId="0" applyNumberFormat="1" applyFont="1" applyFill="1" applyBorder="1" applyAlignment="1">
      <x:alignment wrapText="1"/>
    </x:xf>
    <x:xf numFmtId="0" fontId="7" fillId="7" borderId="23" xfId="0" applyNumberFormat="1" applyFont="1" applyFill="1" applyBorder="1" applyAlignment="1">
      <x:alignment wrapText="1"/>
    </x:xf>
    <x:xf numFmtId="0" fontId="7" fillId="7" borderId="24" xfId="0" applyNumberFormat="1" applyFont="1" applyFill="1" applyBorder="1" applyAlignment="1">
      <x:alignment wrapText="1"/>
    </x:xf>
    <x:xf numFmtId="0" fontId="7" fillId="7" borderId="17" xfId="0" applyNumberFormat="1" applyFont="1" applyFill="1" applyBorder="1" applyAlignment="1">
      <x:alignment vertical="center" wrapText="1"/>
    </x:xf>
    <x:xf numFmtId="0" fontId="7" fillId="7" borderId="18" xfId="0" applyNumberFormat="1" applyFont="1" applyFill="1" applyBorder="1" applyAlignment="1">
      <x:alignment vertical="center" wrapText="1"/>
    </x:xf>
    <x:xf numFmtId="0" fontId="7" fillId="7" borderId="19" xfId="0" applyNumberFormat="1" applyFont="1" applyFill="1" applyBorder="1" applyAlignment="1">
      <x:alignment vertical="center" wrapText="1"/>
    </x:xf>
    <x:xf numFmtId="0" fontId="7" fillId="7" borderId="20" xfId="0" applyNumberFormat="1" applyFont="1" applyFill="1" applyBorder="1" applyAlignment="1">
      <x:alignment vertical="center" wrapText="1"/>
    </x:xf>
    <x:xf numFmtId="0" fontId="7" fillId="7" borderId="0" xfId="0" applyNumberFormat="1" applyFont="1" applyFill="1" applyBorder="1" applyAlignment="1">
      <x:alignment vertical="center" wrapText="1"/>
    </x:xf>
    <x:xf numFmtId="0" fontId="7" fillId="7" borderId="21" xfId="0" applyNumberFormat="1" applyFont="1" applyFill="1" applyBorder="1" applyAlignment="1">
      <x:alignment vertical="center" wrapText="1"/>
    </x:xf>
    <x:xf numFmtId="0" fontId="7" fillId="7" borderId="22" xfId="0" applyNumberFormat="1" applyFont="1" applyFill="1" applyBorder="1" applyAlignment="1">
      <x:alignment vertical="center" wrapText="1"/>
    </x:xf>
    <x:xf numFmtId="0" fontId="7" fillId="7" borderId="23" xfId="0" applyNumberFormat="1" applyFont="1" applyFill="1" applyBorder="1" applyAlignment="1">
      <x:alignment vertical="center" wrapText="1"/>
    </x:xf>
    <x:xf numFmtId="0" fontId="7" fillId="7" borderId="24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7" fillId="8" borderId="0" xfId="0" applyNumberFormat="1" applyFont="1" applyFill="1" applyBorder="1"/>
    <x:xf numFmtId="0" fontId="7" fillId="8" borderId="25" xfId="0" applyNumberFormat="1" applyFont="1" applyFill="1" applyBorder="1"/>
    <x:xf numFmtId="0" fontId="7" fillId="8" borderId="26" xfId="0" applyNumberFormat="1" applyFont="1" applyFill="1" applyBorder="1"/>
    <x:xf numFmtId="0" fontId="7" fillId="8" borderId="27" xfId="0" applyNumberFormat="1" applyFont="1" applyFill="1" applyBorder="1"/>
    <x:xf numFmtId="0" fontId="7" fillId="8" borderId="28" xfId="0" applyNumberFormat="1" applyFont="1" applyFill="1" applyBorder="1"/>
    <x:xf numFmtId="0" fontId="7" fillId="8" borderId="29" xfId="0" applyNumberFormat="1" applyFont="1" applyFill="1" applyBorder="1"/>
    <x:xf numFmtId="0" fontId="7" fillId="8" borderId="30" xfId="0" applyNumberFormat="1" applyFont="1" applyFill="1" applyBorder="1"/>
    <x:xf numFmtId="0" fontId="7" fillId="8" borderId="31" xfId="0" applyNumberFormat="1" applyFont="1" applyFill="1" applyBorder="1"/>
    <x:xf numFmtId="0" fontId="7" fillId="8" borderId="32" xfId="0" applyNumberFormat="1" applyFont="1" applyFill="1" applyBorder="1"/>
    <x:xf numFmtId="0" fontId="7" fillId="8" borderId="25" xfId="0" applyNumberFormat="1" applyFont="1" applyFill="1" applyBorder="1" applyAlignment="1">
      <x:alignment wrapText="1"/>
    </x:xf>
    <x:xf numFmtId="0" fontId="7" fillId="8" borderId="26" xfId="0" applyNumberFormat="1" applyFont="1" applyFill="1" applyBorder="1" applyAlignment="1">
      <x:alignment wrapText="1"/>
    </x:xf>
    <x:xf numFmtId="0" fontId="7" fillId="8" borderId="27" xfId="0" applyNumberFormat="1" applyFont="1" applyFill="1" applyBorder="1" applyAlignment="1">
      <x:alignment wrapText="1"/>
    </x:xf>
    <x:xf numFmtId="0" fontId="7" fillId="8" borderId="28" xfId="0" applyNumberFormat="1" applyFont="1" applyFill="1" applyBorder="1" applyAlignment="1">
      <x:alignment wrapText="1"/>
    </x:xf>
    <x:xf numFmtId="0" fontId="7" fillId="8" borderId="0" xfId="0" applyNumberFormat="1" applyFont="1" applyFill="1" applyBorder="1" applyAlignment="1">
      <x:alignment wrapText="1"/>
    </x:xf>
    <x:xf numFmtId="0" fontId="7" fillId="8" borderId="29" xfId="0" applyNumberFormat="1" applyFont="1" applyFill="1" applyBorder="1" applyAlignment="1">
      <x:alignment wrapText="1"/>
    </x:xf>
    <x:xf numFmtId="0" fontId="7" fillId="8" borderId="30" xfId="0" applyNumberFormat="1" applyFont="1" applyFill="1" applyBorder="1" applyAlignment="1">
      <x:alignment wrapText="1"/>
    </x:xf>
    <x:xf numFmtId="0" fontId="7" fillId="8" borderId="31" xfId="0" applyNumberFormat="1" applyFont="1" applyFill="1" applyBorder="1" applyAlignment="1">
      <x:alignment wrapText="1"/>
    </x:xf>
    <x:xf numFmtId="0" fontId="7" fillId="8" borderId="32" xfId="0" applyNumberFormat="1" applyFont="1" applyFill="1" applyBorder="1" applyAlignment="1">
      <x:alignment wrapText="1"/>
    </x:xf>
    <x:xf numFmtId="0" fontId="7" fillId="8" borderId="25" xfId="0" applyNumberFormat="1" applyFont="1" applyFill="1" applyBorder="1" applyAlignment="1">
      <x:alignment vertical="center" wrapText="1"/>
    </x:xf>
    <x:xf numFmtId="0" fontId="7" fillId="8" borderId="26" xfId="0" applyNumberFormat="1" applyFont="1" applyFill="1" applyBorder="1" applyAlignment="1">
      <x:alignment vertical="center" wrapText="1"/>
    </x:xf>
    <x:xf numFmtId="0" fontId="7" fillId="8" borderId="27" xfId="0" applyNumberFormat="1" applyFont="1" applyFill="1" applyBorder="1" applyAlignment="1">
      <x:alignment vertical="center" wrapText="1"/>
    </x:xf>
    <x:xf numFmtId="0" fontId="7" fillId="8" borderId="28" xfId="0" applyNumberFormat="1" applyFont="1" applyFill="1" applyBorder="1" applyAlignment="1">
      <x:alignment vertical="center" wrapText="1"/>
    </x:xf>
    <x:xf numFmtId="0" fontId="7" fillId="8" borderId="0" xfId="0" applyNumberFormat="1" applyFont="1" applyFill="1" applyBorder="1" applyAlignment="1">
      <x:alignment vertical="center" wrapText="1"/>
    </x:xf>
    <x:xf numFmtId="0" fontId="7" fillId="8" borderId="29" xfId="0" applyNumberFormat="1" applyFont="1" applyFill="1" applyBorder="1" applyAlignment="1">
      <x:alignment vertical="center" wrapText="1"/>
    </x:xf>
    <x:xf numFmtId="0" fontId="7" fillId="8" borderId="30" xfId="0" applyNumberFormat="1" applyFont="1" applyFill="1" applyBorder="1" applyAlignment="1">
      <x:alignment vertical="center" wrapText="1"/>
    </x:xf>
    <x:xf numFmtId="0" fontId="7" fillId="8" borderId="31" xfId="0" applyNumberFormat="1" applyFont="1" applyFill="1" applyBorder="1" applyAlignment="1">
      <x:alignment vertical="center" wrapText="1"/>
    </x:xf>
    <x:xf numFmtId="0" fontId="7" fillId="8" borderId="32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8" fillId="9" borderId="0" xfId="0" applyNumberFormat="1" applyFont="1" applyFill="1" applyBorder="1"/>
    <x:xf numFmtId="0" fontId="8" fillId="9" borderId="10" xfId="0" applyNumberFormat="1" applyFont="1" applyFill="1" applyBorder="1"/>
    <x:xf numFmtId="0" fontId="8" fillId="9" borderId="11" xfId="0" applyNumberFormat="1" applyFont="1" applyFill="1" applyBorder="1"/>
    <x:xf numFmtId="0" fontId="8" fillId="9" borderId="12" xfId="0" applyNumberFormat="1" applyFont="1" applyFill="1" applyBorder="1"/>
    <x:xf numFmtId="0" fontId="8" fillId="9" borderId="13" xfId="0" applyNumberFormat="1" applyFont="1" applyFill="1" applyBorder="1"/>
    <x:xf numFmtId="0" fontId="8" fillId="9" borderId="14" xfId="0" applyNumberFormat="1" applyFont="1" applyFill="1" applyBorder="1"/>
    <x:xf numFmtId="0" fontId="8" fillId="9" borderId="15" xfId="0" applyNumberFormat="1" applyFont="1" applyFill="1" applyBorder="1"/>
    <x:xf numFmtId="0" fontId="8" fillId="9" borderId="1" xfId="0" applyNumberFormat="1" applyFont="1" applyFill="1" applyBorder="1"/>
    <x:xf numFmtId="0" fontId="8" fillId="9" borderId="16" xfId="0" applyNumberFormat="1" applyFont="1" applyFill="1" applyBorder="1"/>
    <x:xf numFmtId="0" fontId="8" fillId="9" borderId="10" xfId="0" applyNumberFormat="1" applyFont="1" applyFill="1" applyBorder="1" applyAlignment="1">
      <x:alignment wrapText="1"/>
    </x:xf>
    <x:xf numFmtId="0" fontId="8" fillId="9" borderId="11" xfId="0" applyNumberFormat="1" applyFont="1" applyFill="1" applyBorder="1" applyAlignment="1">
      <x:alignment wrapText="1"/>
    </x:xf>
    <x:xf numFmtId="0" fontId="8" fillId="9" borderId="12" xfId="0" applyNumberFormat="1" applyFont="1" applyFill="1" applyBorder="1" applyAlignment="1">
      <x:alignment wrapText="1"/>
    </x:xf>
    <x:xf numFmtId="0" fontId="8" fillId="9" borderId="13" xfId="0" applyNumberFormat="1" applyFont="1" applyFill="1" applyBorder="1" applyAlignment="1">
      <x:alignment wrapText="1"/>
    </x:xf>
    <x:xf numFmtId="0" fontId="8" fillId="9" borderId="0" xfId="0" applyNumberFormat="1" applyFont="1" applyFill="1" applyBorder="1" applyAlignment="1">
      <x:alignment wrapText="1"/>
    </x:xf>
    <x:xf numFmtId="0" fontId="8" fillId="9" borderId="14" xfId="0" applyNumberFormat="1" applyFont="1" applyFill="1" applyBorder="1" applyAlignment="1">
      <x:alignment wrapText="1"/>
    </x:xf>
    <x:xf numFmtId="0" fontId="8" fillId="9" borderId="15" xfId="0" applyNumberFormat="1" applyFont="1" applyFill="1" applyBorder="1" applyAlignment="1">
      <x:alignment wrapText="1"/>
    </x:xf>
    <x:xf numFmtId="0" fontId="8" fillId="9" borderId="1" xfId="0" applyNumberFormat="1" applyFont="1" applyFill="1" applyBorder="1" applyAlignment="1">
      <x:alignment wrapText="1"/>
    </x:xf>
    <x:xf numFmtId="0" fontId="8" fillId="9" borderId="16" xfId="0" applyNumberFormat="1" applyFont="1" applyFill="1" applyBorder="1" applyAlignment="1">
      <x:alignment wrapText="1"/>
    </x:xf>
    <x:xf numFmtId="0" fontId="8" fillId="9" borderId="10" xfId="0" applyNumberFormat="1" applyFont="1" applyFill="1" applyBorder="1" applyAlignment="1">
      <x:alignment vertical="center" wrapText="1"/>
    </x:xf>
    <x:xf numFmtId="0" fontId="8" fillId="9" borderId="11" xfId="0" applyNumberFormat="1" applyFont="1" applyFill="1" applyBorder="1" applyAlignment="1">
      <x:alignment vertical="center" wrapText="1"/>
    </x:xf>
    <x:xf numFmtId="0" fontId="8" fillId="9" borderId="12" xfId="0" applyNumberFormat="1" applyFont="1" applyFill="1" applyBorder="1" applyAlignment="1">
      <x:alignment vertical="center" wrapText="1"/>
    </x:xf>
    <x:xf numFmtId="0" fontId="8" fillId="9" borderId="13" xfId="0" applyNumberFormat="1" applyFont="1" applyFill="1" applyBorder="1" applyAlignment="1">
      <x:alignment vertical="center" wrapText="1"/>
    </x:xf>
    <x:xf numFmtId="0" fontId="8" fillId="9" borderId="0" xfId="0" applyNumberFormat="1" applyFont="1" applyFill="1" applyBorder="1" applyAlignment="1">
      <x:alignment vertical="center" wrapText="1"/>
    </x:xf>
    <x:xf numFmtId="0" fontId="8" fillId="9" borderId="14" xfId="0" applyNumberFormat="1" applyFont="1" applyFill="1" applyBorder="1" applyAlignment="1">
      <x:alignment vertical="center" wrapText="1"/>
    </x:xf>
    <x:xf numFmtId="0" fontId="8" fillId="9" borderId="15" xfId="0" applyNumberFormat="1" applyFont="1" applyFill="1" applyBorder="1" applyAlignment="1">
      <x:alignment vertical="center" wrapText="1"/>
    </x:xf>
    <x:xf numFmtId="0" fontId="8" fillId="9" borderId="1" xfId="0" applyNumberFormat="1" applyFont="1" applyFill="1" applyBorder="1" applyAlignment="1">
      <x:alignment vertical="center" wrapText="1"/>
    </x:xf>
    <x:xf numFmtId="0" fontId="8" fillId="9" borderId="16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/>
    <x:xf numFmtId="0" fontId="8" fillId="10" borderId="0" xfId="0" applyNumberFormat="1" applyFont="1" applyFill="1" applyBorder="1"/>
    <x:xf numFmtId="0" fontId="8" fillId="10" borderId="25" xfId="0" applyNumberFormat="1" applyFont="1" applyFill="1" applyBorder="1"/>
    <x:xf numFmtId="0" fontId="8" fillId="10" borderId="26" xfId="0" applyNumberFormat="1" applyFont="1" applyFill="1" applyBorder="1"/>
    <x:xf numFmtId="0" fontId="8" fillId="10" borderId="27" xfId="0" applyNumberFormat="1" applyFont="1" applyFill="1" applyBorder="1"/>
    <x:xf numFmtId="0" fontId="8" fillId="10" borderId="28" xfId="0" applyNumberFormat="1" applyFont="1" applyFill="1" applyBorder="1"/>
    <x:xf numFmtId="0" fontId="8" fillId="10" borderId="29" xfId="0" applyNumberFormat="1" applyFont="1" applyFill="1" applyBorder="1"/>
    <x:xf numFmtId="0" fontId="8" fillId="10" borderId="30" xfId="0" applyNumberFormat="1" applyFont="1" applyFill="1" applyBorder="1"/>
    <x:xf numFmtId="0" fontId="8" fillId="10" borderId="31" xfId="0" applyNumberFormat="1" applyFont="1" applyFill="1" applyBorder="1"/>
    <x:xf numFmtId="0" fontId="8" fillId="10" borderId="32" xfId="0" applyNumberFormat="1" applyFont="1" applyFill="1" applyBorder="1"/>
    <x:xf numFmtId="0" fontId="8" fillId="10" borderId="25" xfId="0" applyNumberFormat="1" applyFont="1" applyFill="1" applyBorder="1" applyAlignment="1">
      <x:alignment wrapText="1"/>
    </x:xf>
    <x:xf numFmtId="0" fontId="8" fillId="10" borderId="26" xfId="0" applyNumberFormat="1" applyFont="1" applyFill="1" applyBorder="1" applyAlignment="1">
      <x:alignment wrapText="1"/>
    </x:xf>
    <x:xf numFmtId="0" fontId="8" fillId="10" borderId="27" xfId="0" applyNumberFormat="1" applyFont="1" applyFill="1" applyBorder="1" applyAlignment="1">
      <x:alignment wrapText="1"/>
    </x:xf>
    <x:xf numFmtId="0" fontId="8" fillId="10" borderId="28" xfId="0" applyNumberFormat="1" applyFont="1" applyFill="1" applyBorder="1" applyAlignment="1">
      <x:alignment wrapText="1"/>
    </x:xf>
    <x:xf numFmtId="0" fontId="8" fillId="10" borderId="0" xfId="0" applyNumberFormat="1" applyFont="1" applyFill="1" applyBorder="1" applyAlignment="1">
      <x:alignment wrapText="1"/>
    </x:xf>
    <x:xf numFmtId="0" fontId="8" fillId="10" borderId="29" xfId="0" applyNumberFormat="1" applyFont="1" applyFill="1" applyBorder="1" applyAlignment="1">
      <x:alignment wrapText="1"/>
    </x:xf>
    <x:xf numFmtId="0" fontId="8" fillId="10" borderId="30" xfId="0" applyNumberFormat="1" applyFont="1" applyFill="1" applyBorder="1" applyAlignment="1">
      <x:alignment wrapText="1"/>
    </x:xf>
    <x:xf numFmtId="0" fontId="8" fillId="10" borderId="31" xfId="0" applyNumberFormat="1" applyFont="1" applyFill="1" applyBorder="1" applyAlignment="1">
      <x:alignment wrapText="1"/>
    </x:xf>
    <x:xf numFmtId="0" fontId="8" fillId="10" borderId="32" xfId="0" applyNumberFormat="1" applyFont="1" applyFill="1" applyBorder="1" applyAlignment="1">
      <x:alignment wrapText="1"/>
    </x:xf>
    <x:xf numFmtId="0" fontId="8" fillId="10" borderId="25" xfId="0" applyNumberFormat="1" applyFont="1" applyFill="1" applyBorder="1" applyAlignment="1">
      <x:alignment vertical="center" wrapText="1"/>
    </x:xf>
    <x:xf numFmtId="0" fontId="8" fillId="10" borderId="26" xfId="0" applyNumberFormat="1" applyFont="1" applyFill="1" applyBorder="1" applyAlignment="1">
      <x:alignment vertical="center" wrapText="1"/>
    </x:xf>
    <x:xf numFmtId="0" fontId="8" fillId="10" borderId="27" xfId="0" applyNumberFormat="1" applyFont="1" applyFill="1" applyBorder="1" applyAlignment="1">
      <x:alignment vertical="center" wrapText="1"/>
    </x:xf>
    <x:xf numFmtId="0" fontId="8" fillId="10" borderId="28" xfId="0" applyNumberFormat="1" applyFont="1" applyFill="1" applyBorder="1" applyAlignment="1">
      <x:alignment vertical="center" wrapText="1"/>
    </x:xf>
    <x:xf numFmtId="0" fontId="8" fillId="10" borderId="0" xfId="0" applyNumberFormat="1" applyFont="1" applyFill="1" applyBorder="1" applyAlignment="1">
      <x:alignment vertical="center" wrapText="1"/>
    </x:xf>
    <x:xf numFmtId="0" fontId="8" fillId="10" borderId="29" xfId="0" applyNumberFormat="1" applyFont="1" applyFill="1" applyBorder="1" applyAlignment="1">
      <x:alignment vertical="center" wrapText="1"/>
    </x:xf>
    <x:xf numFmtId="0" fontId="8" fillId="10" borderId="30" xfId="0" applyNumberFormat="1" applyFont="1" applyFill="1" applyBorder="1" applyAlignment="1">
      <x:alignment vertical="center" wrapText="1"/>
    </x:xf>
    <x:xf numFmtId="0" fontId="8" fillId="10" borderId="31" xfId="0" applyNumberFormat="1" applyFont="1" applyFill="1" applyBorder="1" applyAlignment="1">
      <x:alignment vertical="center" wrapText="1"/>
    </x:xf>
    <x:xf numFmtId="0" fontId="8" fillId="10" borderId="32" xfId="0" applyNumberFormat="1" applyFont="1" applyFill="1" applyBorder="1" applyAlignment="1">
      <x:alignment vertical="center" wrapText="1"/>
    </x:xf>
    <x:xf numFmtId="0" fontId="3" fillId="5" borderId="0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vertical="center" wrapText="1"/>
    </x:xf>
    <x:xf numFmtId="0" fontId="9" fillId="4" borderId="0" xfId="0" applyNumberFormat="1" applyFont="1" applyFill="1" applyBorder="1"/>
    <x:xf numFmtId="0" fontId="9" fillId="4" borderId="8" xfId="0" applyNumberFormat="1" applyFont="1" applyFill="1" applyBorder="1"/>
    <x:xf numFmtId="0" fontId="9" fillId="4" borderId="33" xfId="0" applyNumberFormat="1" applyFont="1" applyFill="1" applyBorder="1"/>
    <x:xf numFmtId="0" fontId="9" fillId="4" borderId="3" xfId="0" applyNumberFormat="1" applyFont="1" applyFill="1" applyBorder="1"/>
    <x:xf numFmtId="0" fontId="9" fillId="4" borderId="8" xfId="0" applyNumberFormat="1" applyFont="1" applyFill="1" applyBorder="1" applyAlignment="1">
      <x:alignment wrapText="1"/>
    </x:xf>
    <x:xf numFmtId="0" fontId="9" fillId="4" borderId="33" xfId="0" applyNumberFormat="1" applyFont="1" applyFill="1" applyBorder="1" applyAlignment="1">
      <x:alignment wrapText="1"/>
    </x:xf>
    <x:xf numFmtId="0" fontId="9" fillId="4" borderId="3" xfId="0" applyNumberFormat="1" applyFont="1" applyFill="1" applyBorder="1" applyAlignment="1">
      <x:alignment wrapText="1"/>
    </x:xf>
    <x:xf numFmtId="0" fontId="9" fillId="4" borderId="8" xfId="0" applyNumberFormat="1" applyFont="1" applyFill="1" applyBorder="1" applyAlignment="1">
      <x:alignment vertical="top" wrapText="1"/>
    </x:xf>
    <x:xf numFmtId="0" fontId="9" fillId="4" borderId="33" xfId="0" applyNumberFormat="1" applyFont="1" applyFill="1" applyBorder="1" applyAlignment="1">
      <x:alignment vertical="top" wrapText="1"/>
    </x:xf>
    <x:xf numFmtId="0" fontId="9" fillId="4" borderId="3" xfId="0" applyNumberFormat="1" applyFont="1" applyFill="1" applyBorder="1" applyAlignment="1">
      <x:alignment vertical="top" wrapText="1"/>
    </x:xf>
    <x:xf numFmtId="0" fontId="9" fillId="4" borderId="8" xfId="0" applyNumberFormat="1" applyFont="1" applyFill="1" applyBorder="1" applyAlignment="1">
      <x:alignment vertical="center" wrapText="1"/>
    </x:xf>
    <x:xf numFmtId="0" fontId="9" fillId="4" borderId="33" xfId="0" applyNumberFormat="1" applyFont="1" applyFill="1" applyBorder="1" applyAlignment="1">
      <x:alignment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" fillId="4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" fillId="4" borderId="8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" fillId="4" borderId="3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" fillId="4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" fillId="4" borderId="8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" fillId="4" borderId="33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" fillId="4" borderId="3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" fillId="4" borderId="8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" fillId="4" borderId="3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" fillId="4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" fillId="4" borderId="8" xfId="0" applyNumberFormat="1" applyFont="1" applyFill="1" applyBorder="1" applyAlignment="1">
      <x:alignment horizontal="center"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" fillId="4" borderId="33" xfId="0" applyNumberFormat="1" applyFont="1" applyFill="1" applyBorder="1" applyAlignment="1">
      <x:alignment horizontal="center"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" fillId="4" borderId="3" xfId="0" applyNumberFormat="1" applyFont="1" applyFill="1" applyBorder="1" applyAlignment="1">
      <x:alignment horizontal="center"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" fillId="4" borderId="8" xfId="0" applyNumberFormat="1" applyFont="1" applyFill="1" applyBorder="1" applyAlignment="1">
      <x:alignment horizontal="right" vertical="top" wrapText="1"/>
    </x:xf>
    <x:xf numFmtId="0" fontId="9" fillId="4" borderId="33" xfId="0" applyNumberFormat="1" applyFont="1" applyFill="1" applyBorder="1" applyAlignment="1">
      <x:alignment horizontal="right" vertical="top" wrapText="1"/>
    </x:xf>
    <x:xf numFmtId="0" fontId="9" fillId="4" borderId="3" xfId="0" applyNumberFormat="1" applyFont="1" applyFill="1" applyBorder="1" applyAlignment="1">
      <x:alignment horizontal="right" vertical="top" wrapText="1"/>
    </x:xf>
    <x:xf numFmtId="0" fontId="9" fillId="11" borderId="8" xfId="0" applyNumberFormat="1" applyFont="1" applyFill="1" applyBorder="1" applyAlignment="1">
      <x:alignment vertical="top" wrapText="1"/>
    </x:xf>
    <x:xf numFmtId="0" fontId="9" fillId="12" borderId="8" xfId="0" applyNumberFormat="1" applyFont="1" applyFill="1" applyBorder="1" applyAlignment="1">
      <x:alignment vertical="top" wrapText="1"/>
    </x:xf>
    <x:xf numFmtId="0" fontId="9" fillId="3" borderId="8" xfId="0" applyNumberFormat="1" applyFont="1" applyFill="1" applyBorder="1" applyAlignment="1">
      <x:alignment vertical="top" wrapText="1"/>
    </x:xf>
    <x:xf numFmtId="0" fontId="10" fillId="11" borderId="8" xfId="0" applyNumberFormat="1" applyFont="1" applyFill="1" applyBorder="1" applyAlignment="1">
      <x:alignment vertical="top" wrapText="1"/>
    </x:xf>
    <x:xf numFmtId="0" fontId="10" fillId="12" borderId="8" xfId="0" applyNumberFormat="1" applyFont="1" applyFill="1" applyBorder="1" applyAlignment="1">
      <x:alignment vertical="top" wrapText="1"/>
    </x:xf>
    <x:xf numFmtId="0" fontId="10" fillId="3" borderId="8" xfId="0" applyNumberFormat="1" applyFont="1" applyFill="1" applyBorder="1" applyAlignment="1">
      <x:alignment vertical="top" wrapText="1"/>
    </x:xf>
    <x:xf numFmtId="0" fontId="9" fillId="13" borderId="33" xfId="0" applyNumberFormat="1" applyFont="1" applyFill="1" applyBorder="1" applyAlignment="1">
      <x:alignment vertical="top" wrapText="1"/>
    </x:xf>
    <x:xf numFmtId="0" fontId="9" fillId="14" borderId="33" xfId="0" applyNumberFormat="1" applyFont="1" applyFill="1" applyBorder="1" applyAlignment="1">
      <x:alignment vertical="top" wrapText="1"/>
    </x:xf>
    <x:xf numFmtId="0" fontId="9" fillId="15" borderId="33" xfId="0" applyNumberFormat="1" applyFont="1" applyFill="1" applyBorder="1" applyAlignment="1">
      <x:alignment vertical="top" wrapText="1"/>
    </x:xf>
    <x:xf numFmtId="0" fontId="10" fillId="13" borderId="33" xfId="0" applyNumberFormat="1" applyFont="1" applyFill="1" applyBorder="1" applyAlignment="1">
      <x:alignment vertical="top" wrapText="1"/>
    </x:xf>
    <x:xf numFmtId="0" fontId="10" fillId="14" borderId="33" xfId="0" applyNumberFormat="1" applyFont="1" applyFill="1" applyBorder="1" applyAlignment="1">
      <x:alignment vertical="top" wrapText="1"/>
    </x:xf>
    <x:xf numFmtId="0" fontId="10" fillId="15" borderId="33" xfId="0" applyNumberFormat="1" applyFont="1" applyFill="1" applyBorder="1" applyAlignment="1">
      <x:alignment vertical="top" wrapText="1"/>
    </x:xf>
    <x:xf numFmtId="0" fontId="9" fillId="16" borderId="33" xfId="0" applyNumberFormat="1" applyFont="1" applyFill="1" applyBorder="1" applyAlignment="1">
      <x:alignment vertical="top" wrapText="1"/>
    </x:xf>
    <x:xf numFmtId="0" fontId="9" fillId="17" borderId="33" xfId="0" applyNumberFormat="1" applyFont="1" applyFill="1" applyBorder="1" applyAlignment="1">
      <x:alignment vertical="top" wrapText="1"/>
    </x:xf>
    <x:xf numFmtId="0" fontId="9" fillId="18" borderId="33" xfId="0" applyNumberFormat="1" applyFont="1" applyFill="1" applyBorder="1" applyAlignment="1">
      <x:alignment vertical="top" wrapText="1"/>
    </x:xf>
    <x:xf numFmtId="0" fontId="10" fillId="16" borderId="33" xfId="0" applyNumberFormat="1" applyFont="1" applyFill="1" applyBorder="1" applyAlignment="1">
      <x:alignment vertical="top" wrapText="1"/>
    </x:xf>
    <x:xf numFmtId="0" fontId="10" fillId="17" borderId="33" xfId="0" applyNumberFormat="1" applyFont="1" applyFill="1" applyBorder="1" applyAlignment="1">
      <x:alignment vertical="top" wrapText="1"/>
    </x:xf>
    <x:xf numFmtId="0" fontId="10" fillId="18" borderId="33" xfId="0" applyNumberFormat="1" applyFont="1" applyFill="1" applyBorder="1" applyAlignment="1">
      <x:alignment vertical="top" wrapText="1"/>
    </x:xf>
    <x:xf numFmtId="0" fontId="11" fillId="2" borderId="0" xfId="0" applyNumberFormat="1" applyFont="1" applyFill="1" applyBorder="1" applyAlignment="1">
      <x:alignment vertical="center"/>
    </x:xf>
    <x:xf numFmtId="0" fontId="12" fillId="2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11">
    <x:dxf>
      <x:font>
        <x:b/>
        <x:color rgb="FF56E39F"/>
      </x:font>
      <x:fill>
        <x:patternFill patternType="solid">
          <x:bgColor rgb="FF123829"/>
        </x:patternFill>
      </x:fill>
    </x:dxf>
    <x:dxf>
      <x:font>
        <x:b/>
        <x:color rgb="FFFF637D"/>
      </x:font>
      <x:fill>
        <x:patternFill patternType="solid">
          <x:bgColor rgb="FF421621"/>
        </x:patternFill>
      </x:fill>
    </x:dxf>
    <x:dxf>
      <x:font>
        <x:b/>
        <x:color rgb="FFF2B84B"/>
      </x:font>
      <x:fill>
        <x:patternFill patternType="solid">
          <x:bgColor rgb="FF3B2B10"/>
        </x:patternFill>
      </x:fill>
    </x:dxf>
    <x:dxf>
      <x:font>
        <x:b/>
        <x:color rgb="FFFF637D"/>
      </x:font>
      <x:fill>
        <x:patternFill patternType="solid">
          <x:bgColor rgb="FF421621"/>
        </x:patternFill>
      </x:fill>
    </x:dxf>
    <x:dxf>
      <x:font>
        <x:b/>
        <x:color rgb="FF56E39F"/>
      </x:font>
      <x:fill>
        <x:patternFill patternType="solid">
          <x:bgColor rgb="FF123829"/>
        </x:patternFill>
      </x:fill>
    </x:dxf>
    <x:dxf>
      <x:font>
        <x:b/>
        <x:color rgb="FF56E39F"/>
      </x:font>
      <x:fill>
        <x:patternFill patternType="solid">
          <x:bgColor rgb="FF123829"/>
        </x:patternFill>
      </x:fill>
    </x:dxf>
    <x:dxf>
      <x:font>
        <x:b/>
        <x:color rgb="FFFF637D"/>
      </x:font>
      <x:fill>
        <x:patternFill patternType="solid">
          <x:bgColor rgb="FF421621"/>
        </x:patternFill>
      </x:fill>
    </x:dxf>
    <x:dxf>
      <x:font>
        <x:b/>
        <x:color rgb="FFF2B84B"/>
      </x:font>
      <x:fill>
        <x:patternFill patternType="solid">
          <x:bgColor rgb="FF3B2B10"/>
        </x:patternFill>
      </x:fill>
    </x:dxf>
    <x:dxf>
      <x:font>
        <x:b/>
        <x:color rgb="FF56E39F"/>
      </x:font>
      <x:fill>
        <x:patternFill patternType="solid">
          <x:bgColor rgb="FF123829"/>
        </x:patternFill>
      </x:fill>
    </x:dxf>
    <x:dxf>
      <x:font>
        <x:b/>
        <x:color rgb="FFFF637D"/>
      </x:font>
      <x:fill>
        <x:patternFill patternType="solid">
          <x:bgColor rgb="FF421621"/>
        </x:patternFill>
      </x:fill>
    </x:dxf>
    <x:dxf>
      <x:font>
        <x:b/>
        <x:color rgb="FFF2B84B"/>
      </x:font>
      <x:fill>
        <x:patternFill patternType="solid">
          <x:bgColor rgb="FF3B2B1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9fd9c4f1d8437f" /><Relationship Type="http://schemas.openxmlformats.org/officeDocument/2006/relationships/theme" Target="/xl/theme/theme1.xml" Id="R7a6194b1e2de4bef" /><Relationship Type="http://schemas.microsoft.com/office/2022/11/relationships/FeaturePropertyBag" Target="/xl/featurePropertyBag/featurePropertyBag.xml" Id="R506da2d4576c466e" /><Relationship Type="http://schemas.openxmlformats.org/officeDocument/2006/relationships/sharedStrings" Target="/xl/sharedStrings.xml" Id="R04f94b8878f74ba7" /><Relationship Type="http://schemas.openxmlformats.org/officeDocument/2006/relationships/worksheet" Target="/xl/worksheets/sheet1.xml" Id="R5d943df9ab1d4f4d" /><Relationship Type="http://schemas.openxmlformats.org/officeDocument/2006/relationships/worksheet" Target="/xl/worksheets/sheet2.xml" Id="R9385679c52d44e1f" /><Relationship Type="http://schemas.openxmlformats.org/officeDocument/2006/relationships/worksheet" Target="/xl/worksheets/sheet3.xml" Id="R362e75cb19214b38" /><Relationship Type="http://schemas.openxmlformats.org/officeDocument/2006/relationships/worksheet" Target="/xl/worksheets/sheet4.xml" Id="Ra2e0bdec3b664737" /><Relationship Type="http://schemas.openxmlformats.org/officeDocument/2006/relationships/worksheet" Target="/xl/worksheets/sheet5.xml" Id="R79aa8b86b8d64592" /><Relationship Type="http://schemas.openxmlformats.org/officeDocument/2006/relationships/worksheet" Target="/xl/worksheets/sheet6.xml" Id="R3fedc15622354ca6" /><Relationship Type="http://schemas.openxmlformats.org/officeDocument/2006/relationships/worksheet" Target="/xl/worksheets/sheet7.xml" Id="Ref94da19d7684350" /><Relationship Type="http://schemas.microsoft.com/office/2017/10/relationships/person" Target="/xl/persons/person.xml" Id="R06dc1ea7466344b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persons/person.xml><?xml version="1.0" encoding="utf-8"?>
<xltc:personList xmlns:xltc="http://schemas.microsoft.com/office/spreadsheetml/2018/threadedcomments">
  <xltc:person displayName="Toni" id="{EB19071D-47D8-4EFB-B039-2EB041AB208E}"/>
</xltc:personList>
</file>

<file path=xl/tables/table1.xml><?xml version="1.0" encoding="utf-8"?>
<x:table xmlns:x="http://schemas.openxmlformats.org/spreadsheetml/2006/main" id="1" name="AnimationCatalogTable" displayName="AnimationCatalogTable" ref="A4:J23" headerRowCount="1" totalsRowCount="0" totalsRowShown="0">
  <x:tableColumns count="10">
    <x:tableColumn id="1" name="State ID"/>
    <x:tableColumn id="2" name="Category"/>
    <x:tableColumn id="3" name="Loop"/>
    <x:tableColumn id="4" name="FPS"/>
    <x:tableColumn id="5" name="Duration ms"/>
    <x:tableColumn id="6" name="Priority"/>
    <x:tableColumn id="7" name="Sprite / frames"/>
    <x:tableColumn id="8" name="Implementation"/>
    <x:tableColumn id="9" name="FX stack"/>
    <x:tableColumn id="10" name="Fallback / next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2" name="EventMatrixTable" displayName="EventMatrixTable" ref="A4:H19" headerRowCount="1" totalsRowCount="0" totalsRowShown="0">
  <x:tableColumns count="8">
    <x:tableColumn id="1" name="Event"/>
    <x:tableColumn id="2" name="Condition"/>
    <x:tableColumn id="3" name="Target state"/>
    <x:tableColumn id="4" name="Priority"/>
    <x:tableColumn id="5" name="Interrupts idle"/>
    <x:tableColumn id="6" name="User meaning"/>
    <x:tableColumn id="7" name="Required payload"/>
    <x:tableColumn id="8" name="Debounce / notes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AssetRegisterTable" displayName="AssetRegisterTable" ref="A4:I12" headerRowCount="1" totalsRowCount="0" totalsRowShown="0">
  <x:tableColumns count="9">
    <x:tableColumn id="1" name="Asset ID"/>
    <x:tableColumn id="2" name="File"/>
    <x:tableColumn id="3" name="Type"/>
    <x:tableColumn id="4" name="Dimensions"/>
    <x:tableColumn id="5" name="Layout"/>
    <x:tableColumn id="6" name="Purpose"/>
    <x:tableColumn id="7" name="Readiness"/>
    <x:tableColumn id="8" name="Production action"/>
    <x:tableColumn id="9" name="Identity authority"/>
  </x:tableColumns>
  <x:tableStyleInfo name="TableStyleMedium4" showFirstColumn="0" showLastColumn="0" showRowStripes="1" showColumnStripes="0"/>
</x:table>
</file>

<file path=xl/tables/table4.xml><?xml version="1.0" encoding="utf-8"?>
<x:table xmlns:x="http://schemas.openxmlformats.org/spreadsheetml/2006/main" id="4" name="RoadmapTable" displayName="RoadmapTable" ref="A4:J14" headerRowCount="1" totalsRowCount="0" totalsRowShown="0">
  <x:tableColumns count="10">
    <x:tableColumn id="1" name="Phase"/>
    <x:tableColumn id="2" name="Work package"/>
    <x:tableColumn id="3" name="Deliverable"/>
    <x:tableColumn id="4" name="Dependency"/>
    <x:tableColumn id="5" name="Owner"/>
    <x:tableColumn id="6" name="Priority"/>
    <x:tableColumn id="7" name="Status"/>
    <x:tableColumn id="8" name="Est. days"/>
    <x:tableColumn id="9" name="Acceptance gate"/>
    <x:tableColumn id="10" name="Notes"/>
  </x:tableColumns>
  <x:tableStyleInfo name="TableStyleMedium4" showFirstColumn="0" showLastColumn="0" showRowStripes="1" showColumnStripes="0"/>
</x:table>
</file>

<file path=xl/tables/table5.xml><?xml version="1.0" encoding="utf-8"?>
<x:table xmlns:x="http://schemas.openxmlformats.org/spreadsheetml/2006/main" id="5" name="AcceptanceTable" displayName="AcceptanceTable" ref="A4:H16" headerRowCount="1" totalsRowCount="0" totalsRowShown="0">
  <x:tableColumns count="8">
    <x:tableColumn id="1" name="ID"/>
    <x:tableColumn id="2" name="Area"/>
    <x:tableColumn id="3" name="Test"/>
    <x:tableColumn id="4" name="Expected result"/>
    <x:tableColumn id="5" name="Severity"/>
    <x:tableColumn id="6" name="Status"/>
    <x:tableColumn id="7" name="Evidence"/>
    <x:tableColumn id="8" name="Owner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da36b259de148c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2bbbec74d29465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111d41bbc274e7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c99fba4fe0c6406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970ef7fbcf004f2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4" max="4" width="12" hidden="0" customWidth="1"/>
    <x:col min="7" max="7" width="12" hidden="0" customWidth="1"/>
    <x:col min="3" max="3" width="12" hidden="0" customWidth="1"/>
    <x:col min="5" max="5" width="12" hidden="0" customWidth="1"/>
    <x:col min="6" max="6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</x:cols>
  <x:sheetData>
    <x:row r="1" ht="34" customHeight="1">
      <x:c r="A1" s="244" t="str">
        <x:v>NERO COMPANION RUNTIME v2.0</x:v>
      </x:c>
      <x:c r="B1" s="244"/>
      <x:c r="C1" s="244"/>
      <x:c r="D1" s="244"/>
      <x:c r="E1" s="244"/>
      <x:c r="F1" s="244"/>
      <x:c r="G1" s="244"/>
      <x:c r="H1" s="244"/>
      <x:c r="I1" s="244"/>
      <x:c r="J1" s="244"/>
      <x:c r="K1" s="244"/>
      <x:c r="L1" s="244"/>
    </x:row>
    <x:row r="2" ht="22" customHeight="1">
      <x:c r="A2" s="245" t="str">
        <x:v>Implementation control book • identity-locked • event-driven • truthful by design</x:v>
      </x:c>
      <x:c r="B2" s="245"/>
      <x:c r="C2" s="245"/>
      <x:c r="D2" s="245"/>
      <x:c r="E2" s="245"/>
      <x:c r="F2" s="245"/>
      <x:c r="G2" s="245"/>
      <x:c r="H2" s="245"/>
      <x:c r="I2" s="245"/>
      <x:c r="J2" s="245"/>
      <x:c r="K2" s="245"/>
      <x:c r="L2" s="245"/>
    </x:row>
    <x:row r="4" ht="28" customHeight="1">
      <x:c r="A4" s="10" t="str">
        <x:v>RUNTIME HEALTH</x:v>
      </x:c>
      <x:c r="B4" s="10"/>
      <x:c r="C4" s="10"/>
      <x:c r="E4" s="10" t="str">
        <x:v>ASSET READINESS</x:v>
      </x:c>
      <x:c r="F4" s="10"/>
      <x:c r="G4" s="10"/>
      <x:c r="I4" s="10" t="str">
        <x:v>IDENTITY LOCK</x:v>
      </x:c>
      <x:c r="J4" s="10"/>
      <x:c r="K4" s="10"/>
      <x:c r="L4" s="10"/>
    </x:row>
    <x:row r="5">
      <x:c r="A5" s="13" t="str">
        <x:v>Runtime</x:v>
      </x:c>
      <x:c r="B5" s="14" t="str">
        <x:v>2.0.0</x:v>
      </x:c>
      <x:c r="C5" s="15"/>
      <x:c r="E5" s="13" t="str">
        <x:v>Available / usable</x:v>
      </x:c>
      <x:c r="F5" s="14" t="n">
        <x:f>COUNTIF($B$39:$B$57,"available")+COUNTIF($B$39:$B$57,"available-with-fx")+COUNTIF($B$39:$B$57,"available-needs-crop-map")</x:f>
        <x:v>8</x:v>
      </x:c>
      <x:c r="G5" s="15"/>
      <x:c r="I5" s="39" t="str">
        <x:v>Twin magenta ponytails • black wayfarers • pointed ears • obsidian plate • violet-eyed wolf pauldrons • heavy Mongoose Thunder mace. The mace-head silhouette is immutable. No muddy agent-color blending.</x:v>
      </x:c>
      <x:c r="J5" s="40"/>
      <x:c r="K5" s="40"/>
      <x:c r="L5" s="41"/>
    </x:row>
    <x:row r="6">
      <x:c r="A6" s="16" t="str">
        <x:v>States</x:v>
      </x:c>
      <x:c r="B6" s="12" t="n">
        <x:f>COUNTA($A$39:$A$57)</x:f>
        <x:v>19</x:v>
      </x:c>
      <x:c r="C6" s="17"/>
      <x:c r="E6" s="16" t="str">
        <x:v>Needs crop mapping</x:v>
      </x:c>
      <x:c r="F6" s="12" t="n">
        <x:f>COUNTIF($B$39:$B$57,"available-needs-crop-map")</x:f>
        <x:v>2</x:v>
      </x:c>
      <x:c r="G6" s="17"/>
      <x:c r="I6" s="42"/>
      <x:c r="J6" s="43"/>
      <x:c r="K6" s="43"/>
      <x:c r="L6" s="44"/>
    </x:row>
    <x:row r="7">
      <x:c r="A7" s="16" t="str">
        <x:v>Events</x:v>
      </x:c>
      <x:c r="B7" s="12" t="n">
        <x:f>COUNTA($D$39:$D$53)</x:f>
        <x:v>15</x:v>
      </x:c>
      <x:c r="C7" s="17"/>
      <x:c r="E7" s="16" t="str">
        <x:v>New FX needed</x:v>
      </x:c>
      <x:c r="F7" s="12" t="n">
        <x:f>COUNTIF($B$39:$B$57,"new-fx-required")</x:f>
        <x:v>2</x:v>
      </x:c>
      <x:c r="G7" s="17"/>
      <x:c r="I7" s="42"/>
      <x:c r="J7" s="43"/>
      <x:c r="K7" s="43"/>
      <x:c r="L7" s="44"/>
    </x:row>
    <x:row r="8">
      <x:c r="A8" s="16" t="str">
        <x:v>Missing states</x:v>
      </x:c>
      <x:c r="B8" s="12" t="n">
        <x:f>COUNTIF($B$39:$B$57,"missing")</x:f>
        <x:v>5</x:v>
      </x:c>
      <x:c r="C8" s="17"/>
      <x:c r="E8" s="16" t="str">
        <x:v>Missing hero art</x:v>
      </x:c>
      <x:c r="F8" s="12" t="n">
        <x:f>COUNTIF($B$39:$B$57,"missing")+COUNTIF($B$39:$B$57,"hero-animation-required")</x:f>
        <x:v>6</x:v>
      </x:c>
      <x:c r="G8" s="17"/>
      <x:c r="I8" s="42"/>
      <x:c r="J8" s="43"/>
      <x:c r="K8" s="43"/>
      <x:c r="L8" s="44"/>
    </x:row>
    <x:row r="9">
      <x:c r="A9" s="18" t="str">
        <x:v>Fallback</x:v>
      </x:c>
      <x:c r="B9" s="19" t="str">
        <x:v>idle_breathe</x:v>
      </x:c>
      <x:c r="C9" s="20"/>
      <x:c r="E9" s="18" t="str">
        <x:v>Acceptance checks</x:v>
      </x:c>
      <x:c r="F9" s="19" t="n">
        <x:f>COUNTA($G$39:$G$46)</x:f>
        <x:v>8</x:v>
      </x:c>
      <x:c r="G9" s="20"/>
      <x:c r="I9" s="45"/>
      <x:c r="J9" s="46"/>
      <x:c r="K9" s="46"/>
      <x:c r="L9" s="47"/>
    </x:row>
    <x:row r="12" ht="26" customHeight="1">
      <x:c r="A12" s="51" t="str">
        <x:v>THREE-SYSTEM COLOR LANGUAGE</x:v>
      </x:c>
      <x:c r="B12" s="51" t="str">
        <x:v>THREE-SYSTEM COLOR LANGUAGE</x:v>
      </x:c>
      <x:c r="C12" s="51" t="str">
        <x:v>THREE-SYSTEM COLOR LANGUAGE</x:v>
      </x:c>
      <x:c r="D12" s="51" t="str">
        <x:v>THREE-SYSTEM COLOR LANGUAGE</x:v>
      </x:c>
      <x:c r="E12" s="51" t="str">
        <x:v>THREE-SYSTEM COLOR LANGUAGE</x:v>
      </x:c>
      <x:c r="F12" s="51" t="str">
        <x:v>THREE-SYSTEM COLOR LANGUAGE</x:v>
      </x:c>
      <x:c r="G12" s="51" t="str">
        <x:v>THREE-SYSTEM COLOR LANGUAGE</x:v>
      </x:c>
      <x:c r="H12" s="51" t="str">
        <x:v>THREE-SYSTEM COLOR LANGUAGE</x:v>
      </x:c>
      <x:c r="I12" s="51" t="str">
        <x:v>THREE-SYSTEM COLOR LANGUAGE</x:v>
      </x:c>
      <x:c r="J12" s="51" t="str">
        <x:v>THREE-SYSTEM COLOR LANGUAGE</x:v>
      </x:c>
      <x:c r="K12" s="51" t="str">
        <x:v>THREE-SYSTEM COLOR LANGUAGE</x:v>
      </x:c>
      <x:c r="L12" s="51" t="str">
        <x:v>THREE-SYSTEM COLOR LANGUAGE</x:v>
      </x:c>
    </x:row>
    <x:row r="13">
      <x:c r="A13" s="71" t="str">
        <x:v>NERO
Void Guardian
Magenta → violet • black steel • electric-blue Mongoose Thunder
Power pulses outward from armor and mace core.</x:v>
      </x:c>
      <x:c r="B13" s="72"/>
      <x:c r="C13" s="72"/>
      <x:c r="D13" s="73"/>
      <x:c r="E13" s="99" t="str">
        <x:v>CLAUDE
Scholar / Architect
Washed orange → honey gold • parchment
Clockwise runes, warm ribbons, paper and embers.</x:v>
      </x:c>
      <x:c r="F13" s="100"/>
      <x:c r="G13" s="100"/>
      <x:c r="H13" s="101"/>
      <x:c r="I13" s="127" t="str">
        <x:v>CODEX
Engineer / Builder
Ice blue → white-cyan • silver
Counterclockwise grids, wireframes, hexagons and crystalline shards.</x:v>
      </x:c>
      <x:c r="J13" s="128"/>
      <x:c r="K13" s="128"/>
      <x:c r="L13" s="129"/>
    </x:row>
    <x:row r="14">
      <x:c r="A14" s="74"/>
      <x:c r="B14" s="75"/>
      <x:c r="C14" s="75"/>
      <x:c r="D14" s="76"/>
      <x:c r="E14" s="102"/>
      <x:c r="F14" s="103"/>
      <x:c r="G14" s="103"/>
      <x:c r="H14" s="104"/>
      <x:c r="I14" s="130"/>
      <x:c r="J14" s="131"/>
      <x:c r="K14" s="131"/>
      <x:c r="L14" s="132"/>
    </x:row>
    <x:row r="15">
      <x:c r="A15" s="74"/>
      <x:c r="B15" s="75"/>
      <x:c r="C15" s="75"/>
      <x:c r="D15" s="76"/>
      <x:c r="E15" s="102"/>
      <x:c r="F15" s="103"/>
      <x:c r="G15" s="103"/>
      <x:c r="H15" s="104"/>
      <x:c r="I15" s="130"/>
      <x:c r="J15" s="131"/>
      <x:c r="K15" s="131"/>
      <x:c r="L15" s="132"/>
    </x:row>
    <x:row r="16">
      <x:c r="A16" s="74"/>
      <x:c r="B16" s="75"/>
      <x:c r="C16" s="75"/>
      <x:c r="D16" s="76"/>
      <x:c r="E16" s="102"/>
      <x:c r="F16" s="103"/>
      <x:c r="G16" s="103"/>
      <x:c r="H16" s="104"/>
      <x:c r="I16" s="130"/>
      <x:c r="J16" s="131"/>
      <x:c r="K16" s="131"/>
      <x:c r="L16" s="132"/>
    </x:row>
    <x:row r="17">
      <x:c r="A17" s="77"/>
      <x:c r="B17" s="78"/>
      <x:c r="C17" s="78"/>
      <x:c r="D17" s="79"/>
      <x:c r="E17" s="105"/>
      <x:c r="F17" s="106"/>
      <x:c r="G17" s="106"/>
      <x:c r="H17" s="107"/>
      <x:c r="I17" s="133"/>
      <x:c r="J17" s="134"/>
      <x:c r="K17" s="134"/>
      <x:c r="L17" s="135"/>
    </x:row>
    <x:row r="20" ht="26" customHeight="1">
      <x:c r="A20" s="51" t="str">
        <x:v>REFERENCE RENDERS — SOURCE OF VISUAL TRUTH</x:v>
      </x:c>
      <x:c r="B20" s="51" t="str">
        <x:v>REFERENCE RENDERS — SOURCE OF VISUAL TRUTH</x:v>
      </x:c>
      <x:c r="C20" s="51" t="str">
        <x:v>REFERENCE RENDERS — SOURCE OF VISUAL TRUTH</x:v>
      </x:c>
      <x:c r="D20" s="51" t="str">
        <x:v>REFERENCE RENDERS — SOURCE OF VISUAL TRUTH</x:v>
      </x:c>
      <x:c r="E20" s="51" t="str">
        <x:v>REFERENCE RENDERS — SOURCE OF VISUAL TRUTH</x:v>
      </x:c>
      <x:c r="F20" s="51" t="str">
        <x:v>REFERENCE RENDERS — SOURCE OF VISUAL TRUTH</x:v>
      </x:c>
      <x:c r="G20" s="51" t="str">
        <x:v>REFERENCE RENDERS — SOURCE OF VISUAL TRUTH</x:v>
      </x:c>
      <x:c r="H20" s="51" t="str">
        <x:v>REFERENCE RENDERS — SOURCE OF VISUAL TRUTH</x:v>
      </x:c>
      <x:c r="I20" s="51" t="str">
        <x:v>REFERENCE RENDERS — SOURCE OF VISUAL TRUTH</x:v>
      </x:c>
      <x:c r="J20" s="51" t="str">
        <x:v>REFERENCE RENDERS — SOURCE OF VISUAL TRUTH</x:v>
      </x:c>
      <x:c r="K20" s="51" t="str">
        <x:v>REFERENCE RENDERS — SOURCE OF VISUAL TRUTH</x:v>
      </x:c>
      <x:c r="L20" s="51" t="str">
        <x:v>REFERENCE RENDERS — SOURCE OF VISUAL TRUTH</x:v>
      </x:c>
    </x:row>
    <x:row r="21">
      <x:c r="A21" s="155" t="str">
        <x:v>CHARACTER RENDERS
71D7FF5E…jpeg — face, sunglasses, hair and pauldrons
CDC3615A…jpeg — full armor, cloak and proportions
LOCKS
• High twin magenta ponytails
• Thick plain black wayfarers
• Obsidian plate and black cloak
• Snarling wolf pauldrons with violet eyes
• Adult void-elf proportions; never chibi-drift beyond the established sprite style</x:v>
      </x:c>
      <x:c r="B21" s="156"/>
      <x:c r="C21" s="156"/>
      <x:c r="D21" s="156"/>
      <x:c r="E21" s="156"/>
      <x:c r="F21" s="157"/>
      <x:c r="G21" s="183" t="str">
        <x:v>WEAPON RENDER
1408527E…jpeg — Jeklik's Crusher / Mongoose Thunder
LOCKS
• Mace-head silhouette never changes
• Heavy, expensive, polished blackened metal
• Emerald, violet and electric-blue energy accents
• Lightning intensifies during work and success
• Effects frame the weapon; they never hide its geometry
Production artwork must be judged against these renders, not improvised from the sprite sheets.</x:v>
      </x:c>
      <x:c r="H21" s="184"/>
      <x:c r="I21" s="184"/>
      <x:c r="J21" s="184"/>
      <x:c r="K21" s="184"/>
      <x:c r="L21" s="185"/>
    </x:row>
    <x:row r="22">
      <x:c r="A22" s="158"/>
      <x:c r="B22" s="159"/>
      <x:c r="C22" s="159"/>
      <x:c r="D22" s="159"/>
      <x:c r="E22" s="159"/>
      <x:c r="F22" s="160"/>
      <x:c r="G22" s="186"/>
      <x:c r="H22" s="187"/>
      <x:c r="I22" s="187"/>
      <x:c r="J22" s="187"/>
      <x:c r="K22" s="187"/>
      <x:c r="L22" s="188"/>
    </x:row>
    <x:row r="23">
      <x:c r="A23" s="158"/>
      <x:c r="B23" s="159"/>
      <x:c r="C23" s="159"/>
      <x:c r="D23" s="159"/>
      <x:c r="E23" s="159"/>
      <x:c r="F23" s="160"/>
      <x:c r="G23" s="186"/>
      <x:c r="H23" s="187"/>
      <x:c r="I23" s="187"/>
      <x:c r="J23" s="187"/>
      <x:c r="K23" s="187"/>
      <x:c r="L23" s="188"/>
    </x:row>
    <x:row r="24">
      <x:c r="A24" s="158"/>
      <x:c r="B24" s="159"/>
      <x:c r="C24" s="159"/>
      <x:c r="D24" s="159"/>
      <x:c r="E24" s="159"/>
      <x:c r="F24" s="160"/>
      <x:c r="G24" s="186"/>
      <x:c r="H24" s="187"/>
      <x:c r="I24" s="187"/>
      <x:c r="J24" s="187"/>
      <x:c r="K24" s="187"/>
      <x:c r="L24" s="188"/>
    </x:row>
    <x:row r="25">
      <x:c r="A25" s="158"/>
      <x:c r="B25" s="159"/>
      <x:c r="C25" s="159"/>
      <x:c r="D25" s="159"/>
      <x:c r="E25" s="159"/>
      <x:c r="F25" s="160"/>
      <x:c r="G25" s="186"/>
      <x:c r="H25" s="187"/>
      <x:c r="I25" s="187"/>
      <x:c r="J25" s="187"/>
      <x:c r="K25" s="187"/>
      <x:c r="L25" s="188"/>
    </x:row>
    <x:row r="26">
      <x:c r="A26" s="158"/>
      <x:c r="B26" s="159"/>
      <x:c r="C26" s="159"/>
      <x:c r="D26" s="159"/>
      <x:c r="E26" s="159"/>
      <x:c r="F26" s="160"/>
      <x:c r="G26" s="186"/>
      <x:c r="H26" s="187"/>
      <x:c r="I26" s="187"/>
      <x:c r="J26" s="187"/>
      <x:c r="K26" s="187"/>
      <x:c r="L26" s="188"/>
    </x:row>
    <x:row r="27">
      <x:c r="A27" s="158"/>
      <x:c r="B27" s="159"/>
      <x:c r="C27" s="159"/>
      <x:c r="D27" s="159"/>
      <x:c r="E27" s="159"/>
      <x:c r="F27" s="160"/>
      <x:c r="G27" s="186"/>
      <x:c r="H27" s="187"/>
      <x:c r="I27" s="187"/>
      <x:c r="J27" s="187"/>
      <x:c r="K27" s="187"/>
      <x:c r="L27" s="188"/>
    </x:row>
    <x:row r="28">
      <x:c r="A28" s="158"/>
      <x:c r="B28" s="159"/>
      <x:c r="C28" s="159"/>
      <x:c r="D28" s="159"/>
      <x:c r="E28" s="159"/>
      <x:c r="F28" s="160"/>
      <x:c r="G28" s="186"/>
      <x:c r="H28" s="187"/>
      <x:c r="I28" s="187"/>
      <x:c r="J28" s="187"/>
      <x:c r="K28" s="187"/>
      <x:c r="L28" s="188"/>
    </x:row>
    <x:row r="29">
      <x:c r="A29" s="158"/>
      <x:c r="B29" s="159"/>
      <x:c r="C29" s="159"/>
      <x:c r="D29" s="159"/>
      <x:c r="E29" s="159"/>
      <x:c r="F29" s="160"/>
      <x:c r="G29" s="186"/>
      <x:c r="H29" s="187"/>
      <x:c r="I29" s="187"/>
      <x:c r="J29" s="187"/>
      <x:c r="K29" s="187"/>
      <x:c r="L29" s="188"/>
    </x:row>
    <x:row r="30">
      <x:c r="A30" s="158"/>
      <x:c r="B30" s="159"/>
      <x:c r="C30" s="159"/>
      <x:c r="D30" s="159"/>
      <x:c r="E30" s="159"/>
      <x:c r="F30" s="160"/>
      <x:c r="G30" s="186"/>
      <x:c r="H30" s="187"/>
      <x:c r="I30" s="187"/>
      <x:c r="J30" s="187"/>
      <x:c r="K30" s="187"/>
      <x:c r="L30" s="188"/>
    </x:row>
    <x:row r="31">
      <x:c r="A31" s="158"/>
      <x:c r="B31" s="159"/>
      <x:c r="C31" s="159"/>
      <x:c r="D31" s="159"/>
      <x:c r="E31" s="159"/>
      <x:c r="F31" s="160"/>
      <x:c r="G31" s="186"/>
      <x:c r="H31" s="187"/>
      <x:c r="I31" s="187"/>
      <x:c r="J31" s="187"/>
      <x:c r="K31" s="187"/>
      <x:c r="L31" s="188"/>
    </x:row>
    <x:row r="32">
      <x:c r="A32" s="161"/>
      <x:c r="B32" s="162"/>
      <x:c r="C32" s="162"/>
      <x:c r="D32" s="162"/>
      <x:c r="E32" s="162"/>
      <x:c r="F32" s="163"/>
      <x:c r="G32" s="189"/>
      <x:c r="H32" s="190"/>
      <x:c r="I32" s="190"/>
      <x:c r="J32" s="190"/>
      <x:c r="K32" s="190"/>
      <x:c r="L32" s="191"/>
    </x:row>
    <x:row r="34" ht="28" customHeight="1">
      <x:c r="A34" s="195" t="str">
        <x:v>CALCULATION REGISTER — visible source rows for dashboard formulas</x:v>
      </x:c>
      <x:c r="B34" s="195"/>
      <x:c r="C34" s="195"/>
      <x:c r="D34" s="195"/>
      <x:c r="E34" s="195"/>
      <x:c r="F34" s="195"/>
      <x:c r="G34" s="195"/>
      <x:c r="H34" s="195"/>
      <x:c r="I34" s="195"/>
      <x:c r="J34" s="195"/>
      <x:c r="K34" s="195"/>
      <x:c r="L34" s="195"/>
    </x:row>
    <x:row r="38" ht="28" customHeight="1">
      <x:c r="A38" s="10" t="str">
        <x:v>State ID</x:v>
      </x:c>
      <x:c r="B38" s="10" t="str">
        <x:v>Implementation</x:v>
      </x:c>
      <x:c r="D38" s="10" t="str">
        <x:v>Event ID</x:v>
      </x:c>
      <x:c r="G38" s="10" t="str">
        <x:v>Acceptance criterion</x:v>
      </x:c>
      <x:c r="H38" s="10"/>
      <x:c r="I38" s="10"/>
      <x:c r="J38" s="10"/>
      <x:c r="K38" s="10"/>
      <x:c r="L38" s="10"/>
    </x:row>
    <x:row r="39">
      <x:c r="A39" s="203" t="str">
        <x:v>boot_arrival</x:v>
      </x:c>
      <x:c r="B39" s="203" t="str">
        <x:v>new-frames-recommended</x:v>
      </x:c>
      <x:c r="D39" s="203" t="str">
        <x:v>runtime.started</x:v>
      </x:c>
      <x:c r="G39" s="206" t="str">
        <x:v>Nero remains recognizable at 1x, 2x, and 3x integer scale</x:v>
      </x:c>
      <x:c r="H39" s="206"/>
      <x:c r="I39" s="206"/>
      <x:c r="J39" s="206"/>
      <x:c r="K39" s="206"/>
      <x:c r="L39" s="206"/>
    </x:row>
    <x:row r="40">
      <x:c r="A40" s="204" t="str">
        <x:v>idle_breathe</x:v>
      </x:c>
      <x:c r="B40" s="204" t="str">
        <x:v>available</x:v>
      </x:c>
      <x:c r="D40" s="204" t="str">
        <x:v>user.mentions_nero</x:v>
      </x:c>
      <x:c r="G40" s="207" t="str">
        <x:v>Claude, Codex, and Nero are identifiable without reading labels</x:v>
      </x:c>
      <x:c r="H40" s="207"/>
      <x:c r="I40" s="207"/>
      <x:c r="J40" s="207"/>
      <x:c r="K40" s="207"/>
      <x:c r="L40" s="207"/>
    </x:row>
    <x:row r="41">
      <x:c r="A41" s="204" t="str">
        <x:v>idle_look_cursor</x:v>
      </x:c>
      <x:c r="B41" s="204" t="str">
        <x:v>available</x:v>
      </x:c>
      <x:c r="D41" s="204" t="str">
        <x:v>nero.thinking</x:v>
      </x:c>
      <x:c r="G41" s="207" t="str">
        <x:v>dual-agent mode preserves all three visual identities</x:v>
      </x:c>
      <x:c r="H41" s="207"/>
      <x:c r="I41" s="207"/>
      <x:c r="J41" s="207"/>
      <x:c r="K41" s="207"/>
      <x:c r="L41" s="207"/>
    </x:row>
    <x:row r="42">
      <x:c r="A42" s="204" t="str">
        <x:v>idle_bored_tail_twirl</x:v>
      </x:c>
      <x:c r="B42" s="204" t="str">
        <x:v>missing</x:v>
      </x:c>
      <x:c r="D42" s="204" t="str">
        <x:v>nero.speaking</x:v>
      </x:c>
      <x:c r="G42" s="207" t="str">
        <x:v>critical states preempt decorative states</x:v>
      </x:c>
      <x:c r="H42" s="207"/>
      <x:c r="I42" s="207"/>
      <x:c r="J42" s="207"/>
      <x:c r="K42" s="207"/>
      <x:c r="L42" s="207"/>
    </x:row>
    <x:row r="43">
      <x:c r="A43" s="204" t="str">
        <x:v>idle_banana_gag</x:v>
      </x:c>
      <x:c r="B43" s="204" t="str">
        <x:v>optional</x:v>
      </x:c>
      <x:c r="D43" s="204" t="str">
        <x:v>claude.started</x:v>
      </x:c>
      <x:c r="G43" s="207" t="str">
        <x:v>every missing asset falls back to idle_breathe without crashing</x:v>
      </x:c>
      <x:c r="H43" s="207"/>
      <x:c r="I43" s="207"/>
      <x:c r="J43" s="207"/>
      <x:c r="K43" s="207"/>
      <x:c r="L43" s="207"/>
    </x:row>
    <x:row r="44">
      <x:c r="A44" s="204" t="str">
        <x:v>listen_name_called</x:v>
      </x:c>
      <x:c r="B44" s="204" t="str">
        <x:v>available-with-fx</x:v>
      </x:c>
      <x:c r="D44" s="204" t="str">
        <x:v>codex.started</x:v>
      </x:c>
      <x:c r="G44" s="207" t="str">
        <x:v>no animation falsely reports completion</x:v>
      </x:c>
      <x:c r="H44" s="207"/>
      <x:c r="I44" s="207"/>
      <x:c r="J44" s="207"/>
      <x:c r="K44" s="207"/>
      <x:c r="L44" s="207"/>
    </x:row>
    <x:row r="45">
      <x:c r="A45" s="204" t="str">
        <x:v>thinking</x:v>
      </x:c>
      <x:c r="B45" s="204" t="str">
        <x:v>available-needs-crop-map</x:v>
      </x:c>
      <x:c r="D45" s="204" t="str">
        <x:v>agents.dual_active</x:v>
      </x:c>
      <x:c r="G45" s="207" t="str">
        <x:v>reduced-motion mode retains all semantic information</x:v>
      </x:c>
      <x:c r="H45" s="207"/>
      <x:c r="I45" s="207"/>
      <x:c r="J45" s="207"/>
      <x:c r="K45" s="207"/>
      <x:c r="L45" s="207"/>
    </x:row>
    <x:row r="46">
      <x:c r="A46" s="204" t="str">
        <x:v>speaking</x:v>
      </x:c>
      <x:c r="B46" s="204" t="str">
        <x:v>available</x:v>
      </x:c>
      <x:c r="D46" s="204" t="str">
        <x:v>task.succeeded</x:v>
      </x:c>
      <x:c r="G46" s="207" t="str">
        <x:v>sprite crop map is verified before production slicing</x:v>
      </x:c>
      <x:c r="H46" s="207"/>
      <x:c r="I46" s="207"/>
      <x:c r="J46" s="207"/>
      <x:c r="K46" s="207"/>
      <x:c r="L46" s="207"/>
    </x:row>
    <x:row r="47">
      <x:c r="A47" s="204" t="str">
        <x:v>claude_channel</x:v>
      </x:c>
      <x:c r="B47" s="204" t="str">
        <x:v>new-fx-required</x:v>
      </x:c>
      <x:c r="D47" s="204" t="str">
        <x:v>task.failed</x:v>
      </x:c>
    </x:row>
    <x:row r="48">
      <x:c r="A48" s="204" t="str">
        <x:v>codex_build</x:v>
      </x:c>
      <x:c r="B48" s="204" t="str">
        <x:v>new-fx-required</x:v>
      </x:c>
      <x:c r="D48" s="204" t="str">
        <x:v>user.action_required</x:v>
      </x:c>
    </x:row>
    <x:row r="49">
      <x:c r="A49" s="204" t="str">
        <x:v>dual_agent_ascension</x:v>
      </x:c>
      <x:c r="B49" s="204" t="str">
        <x:v>hero-animation-required</x:v>
      </x:c>
      <x:c r="D49" s="204" t="str">
        <x:v>system.critical</x:v>
      </x:c>
    </x:row>
    <x:row r="50">
      <x:c r="A50" s="204" t="str">
        <x:v>task_success</x:v>
      </x:c>
      <x:c r="B50" s="204" t="str">
        <x:v>available-with-fx</x:v>
      </x:c>
      <x:c r="D50" s="204" t="str">
        <x:v>git.push_succeeded</x:v>
      </x:c>
    </x:row>
    <x:row r="51">
      <x:c r="A51" s="204" t="str">
        <x:v>task_failure</x:v>
      </x:c>
      <x:c r="B51" s="204" t="str">
        <x:v>missing</x:v>
      </x:c>
      <x:c r="D51" s="204" t="str">
        <x:v>pet.reposition</x:v>
      </x:c>
    </x:row>
    <x:row r="52">
      <x:c r="A52" s="204" t="str">
        <x:v>attention_required</x:v>
      </x:c>
      <x:c r="B52" s="204" t="str">
        <x:v>available</x:v>
      </x:c>
      <x:c r="D52" s="204" t="str">
        <x:v>pet.dismiss</x:v>
      </x:c>
    </x:row>
    <x:row r="53">
      <x:c r="A53" s="204" t="str">
        <x:v>critical_alert</x:v>
      </x:c>
      <x:c r="B53" s="204" t="str">
        <x:v>missing</x:v>
      </x:c>
      <x:c r="D53" s="205" t="str">
        <x:v>all.work_complete</x:v>
      </x:c>
    </x:row>
    <x:row r="54">
      <x:c r="A54" s="204" t="str">
        <x:v>repository_push</x:v>
      </x:c>
      <x:c r="B54" s="204" t="str">
        <x:v>missing</x:v>
      </x:c>
    </x:row>
    <x:row r="55">
      <x:c r="A55" s="204" t="str">
        <x:v>run_to_anchor</x:v>
      </x:c>
      <x:c r="B55" s="204" t="str">
        <x:v>available-needs-crop-map</x:v>
      </x:c>
    </x:row>
    <x:row r="56">
      <x:c r="A56" s="204" t="str">
        <x:v>dismiss_goodnight</x:v>
      </x:c>
      <x:c r="B56" s="204" t="str">
        <x:v>missing</x:v>
      </x:c>
    </x:row>
    <x:row r="57">
      <x:c r="A57" s="205" t="str">
        <x:v>hidden</x:v>
      </x:c>
      <x:c r="B57" s="205" t="str">
        <x:v>runtime-only</x:v>
      </x:c>
    </x:row>
  </x:sheetData>
  <x:mergeCells>
    <x:mergeCell ref="A1:L1"/>
    <x:mergeCell ref="A2:L2"/>
    <x:mergeCell ref="A4:C4"/>
    <x:mergeCell ref="E4:G4"/>
    <x:mergeCell ref="I4:L4"/>
    <x:mergeCell ref="I5:L9"/>
    <x:mergeCell ref="A12:L12"/>
    <x:mergeCell ref="A13:D17"/>
    <x:mergeCell ref="E13:H17"/>
    <x:mergeCell ref="I13:L17"/>
    <x:mergeCell ref="A20:L20"/>
    <x:mergeCell ref="A21:F32"/>
    <x:mergeCell ref="G21:L32"/>
    <x:mergeCell ref="A34:L34"/>
    <x:mergeCell ref="G38:L38"/>
    <x:mergeCell ref="G39:L39"/>
    <x:mergeCell ref="G40:L40"/>
    <x:mergeCell ref="G41:L41"/>
    <x:mergeCell ref="G42:L42"/>
    <x:mergeCell ref="G43:L43"/>
    <x:mergeCell ref="G44:L44"/>
    <x:mergeCell ref="G45:L45"/>
    <x:mergeCell ref="G46:L4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32" hidden="0" customWidth="1"/>
    <x:col min="8" max="8" width="25" hidden="0" customWidth="1"/>
    <x:col min="9" max="9" width="40" hidden="0" customWidth="1"/>
    <x:col min="10" max="10" width="22" hidden="0" customWidth="1"/>
  </x:cols>
  <x:sheetData>
    <x:row r="1" ht="34" customHeight="1">
      <x:c r="A1" s="3" t="str">
        <x:v>ANIMATION CATALOG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22" customHeight="1">
      <x:c r="A2" s="5" t="str">
        <x:v>Every visible state, its trigger role, art readiness, and implementation truth</x:v>
      </x:c>
      <x:c r="B2" s="5"/>
      <x:c r="C2" s="5"/>
      <x:c r="D2" s="5"/>
      <x:c r="E2" s="5"/>
      <x:c r="F2" s="5"/>
      <x:c r="G2" s="5"/>
      <x:c r="H2" s="5"/>
      <x:c r="I2" s="5"/>
      <x:c r="J2" s="5"/>
    </x:row>
    <x:row r="4" ht="28" customHeight="1">
      <x:c r="A4" s="10" t="str">
        <x:v>State ID</x:v>
      </x:c>
      <x:c r="B4" s="10" t="str">
        <x:v>Category</x:v>
      </x:c>
      <x:c r="C4" s="10" t="str">
        <x:v>Loop</x:v>
      </x:c>
      <x:c r="D4" s="10" t="str">
        <x:v>FPS</x:v>
      </x:c>
      <x:c r="E4" s="10" t="str">
        <x:v>Duration ms</x:v>
      </x:c>
      <x:c r="F4" s="10" t="str">
        <x:v>Priority</x:v>
      </x:c>
      <x:c r="G4" s="10" t="str">
        <x:v>Sprite / frames</x:v>
      </x:c>
      <x:c r="H4" s="10" t="str">
        <x:v>Implementation</x:v>
      </x:c>
      <x:c r="I4" s="10" t="str">
        <x:v>FX stack</x:v>
      </x:c>
      <x:c r="J4" s="10" t="str">
        <x:v>Fallback / next</x:v>
      </x:c>
    </x:row>
    <x:row r="5">
      <x:c r="A5" s="203" t="str">
        <x:v>boot_arrival</x:v>
      </x:c>
      <x:c r="B5" s="203" t="str">
        <x:v>system</x:v>
      </x:c>
      <x:c r="C5" s="220" t="b">
        <x:v>0</x:v>
      </x:c>
      <x:c r="D5" s="223" t="n">
        <x:v>12</x:v>
      </x:c>
      <x:c r="E5" s="223" t="n">
        <x:v>1400</x:v>
      </x:c>
      <x:c r="F5" s="223" t="n">
        <x:v>70</x:v>
      </x:c>
      <x:c r="G5" s="203" t="str">
        <x:v>auxiliary • row1:1-8</x:v>
      </x:c>
      <x:c r="H5" s="203" t="str">
        <x:v>new-frames-recommended</x:v>
      </x:c>
      <x:c r="I5" s="203" t="str">
        <x:v>void_wisp • magenta_materialize</x:v>
      </x:c>
      <x:c r="J5" s="203" t="str">
        <x:v>idle_breathe</x:v>
      </x:c>
    </x:row>
    <x:row r="6">
      <x:c r="A6" s="204" t="str">
        <x:v>idle_breathe</x:v>
      </x:c>
      <x:c r="B6" s="204" t="str">
        <x:v>idle</x:v>
      </x:c>
      <x:c r="C6" s="221" t="b">
        <x:v>1</x:v>
      </x:c>
      <x:c r="D6" s="224" t="n">
        <x:v>8</x:v>
      </x:c>
      <x:c r="E6" s="224" t="str">
        <x:v>continuous</x:v>
      </x:c>
      <x:c r="F6" s="224" t="n">
        <x:v>0</x:v>
      </x:c>
      <x:c r="G6" s="204" t="str">
        <x:v>auxiliary • row1:1-8 ping-pong</x:v>
      </x:c>
      <x:c r="H6" s="204" t="str">
        <x:v>available</x:v>
      </x:c>
      <x:c r="I6" s="204" t="str">
        <x:v>armor_glint_low</x:v>
      </x:c>
      <x:c r="J6" s="204" t="str">
        <x:v>idle_breathe</x:v>
      </x:c>
    </x:row>
    <x:row r="7">
      <x:c r="A7" s="204" t="str">
        <x:v>idle_look_cursor</x:v>
      </x:c>
      <x:c r="B7" s="204" t="str">
        <x:v>idle</x:v>
      </x:c>
      <x:c r="C7" s="221" t="b">
        <x:v>0</x:v>
      </x:c>
      <x:c r="D7" s="224" t="n">
        <x:v>10</x:v>
      </x:c>
      <x:c r="E7" s="224" t="n">
        <x:v>900</x:v>
      </x:c>
      <x:c r="F7" s="224" t="n">
        <x:v>5</x:v>
      </x:c>
      <x:c r="G7" s="204" t="str">
        <x:v>auxiliary • row2:1-4</x:v>
      </x:c>
      <x:c r="H7" s="204" t="str">
        <x:v>available</x:v>
      </x:c>
      <x:c r="I7" s="204" t="str">
        <x:v>single_void_spark</x:v>
      </x:c>
      <x:c r="J7" s="204" t="str">
        <x:v>idle_breathe</x:v>
      </x:c>
    </x:row>
    <x:row r="8">
      <x:c r="A8" s="204" t="str">
        <x:v>idle_bored_tail_twirl</x:v>
      </x:c>
      <x:c r="B8" s="204" t="str">
        <x:v>idle</x:v>
      </x:c>
      <x:c r="C8" s="221" t="b">
        <x:v>0</x:v>
      </x:c>
      <x:c r="D8" s="224" t="n">
        <x:v>12</x:v>
      </x:c>
      <x:c r="E8" s="224" t="n">
        <x:v>1800</x:v>
      </x:c>
      <x:c r="F8" s="224" t="n">
        <x:v>5</x:v>
      </x:c>
      <x:c r="G8" s="204" t="str">
        <x:v>TBD • new</x:v>
      </x:c>
      <x:c r="H8" s="204" t="str">
        <x:v>missing</x:v>
      </x:c>
      <x:c r="I8" s="204" t="str"/>
      <x:c r="J8" s="204" t="str">
        <x:v>idle_breathe</x:v>
      </x:c>
    </x:row>
    <x:row r="9">
      <x:c r="A9" s="204" t="str">
        <x:v>idle_banana_gag</x:v>
      </x:c>
      <x:c r="B9" s="204" t="str">
        <x:v>idle</x:v>
      </x:c>
      <x:c r="C9" s="221" t="b">
        <x:v>0</x:v>
      </x:c>
      <x:c r="D9" s="224" t="n">
        <x:v>10</x:v>
      </x:c>
      <x:c r="E9" s="224" t="n">
        <x:v>2400</x:v>
      </x:c>
      <x:c r="F9" s="224" t="n">
        <x:v>5</x:v>
      </x:c>
      <x:c r="G9" s="204" t="str">
        <x:v>TBD • new</x:v>
      </x:c>
      <x:c r="H9" s="204" t="str">
        <x:v>optional</x:v>
      </x:c>
      <x:c r="I9" s="204" t="str">
        <x:v>tiny_question_rune</x:v>
      </x:c>
      <x:c r="J9" s="204" t="str">
        <x:v>idle_breathe</x:v>
      </x:c>
    </x:row>
    <x:row r="10">
      <x:c r="A10" s="204" t="str">
        <x:v>listen_name_called</x:v>
      </x:c>
      <x:c r="B10" s="204" t="str">
        <x:v>dialogue</x:v>
      </x:c>
      <x:c r="C10" s="221" t="b">
        <x:v>0</x:v>
      </x:c>
      <x:c r="D10" s="224" t="n">
        <x:v>12</x:v>
      </x:c>
      <x:c r="E10" s="224" t="n">
        <x:v>650</x:v>
      </x:c>
      <x:c r="F10" s="224" t="n">
        <x:v>35</x:v>
      </x:c>
      <x:c r="G10" s="204" t="str">
        <x:v>auxiliary • row2:1-4</x:v>
      </x:c>
      <x:c r="H10" s="204" t="str">
        <x:v>available-with-fx</x:v>
      </x:c>
      <x:c r="I10" s="204" t="str">
        <x:v>wolf_ear_twitch • cursor_spark</x:v>
      </x:c>
      <x:c r="J10" s="204" t="str">
        <x:v>thinking</x:v>
      </x:c>
    </x:row>
    <x:row r="11">
      <x:c r="A11" s="204" t="str">
        <x:v>thinking</x:v>
      </x:c>
      <x:c r="B11" s="204" t="str">
        <x:v>dialogue</x:v>
      </x:c>
      <x:c r="C11" s="221" t="b">
        <x:v>1</x:v>
      </x:c>
      <x:c r="D11" s="224" t="n">
        <x:v>8</x:v>
      </x:c>
      <x:c r="E11" s="224" t="str">
        <x:v>continuous</x:v>
      </x:c>
      <x:c r="F11" s="224" t="n">
        <x:v>30</x:v>
      </x:c>
      <x:c r="G11" s="204" t="str">
        <x:v>motionAndVoid • void charge study</x:v>
      </x:c>
      <x:c r="H11" s="204" t="str">
        <x:v>available-needs-crop-map</x:v>
      </x:c>
      <x:c r="I11" s="204" t="str">
        <x:v>three_dot_orbit • low_void_particles</x:v>
      </x:c>
      <x:c r="J11" s="204" t="str">
        <x:v>idle_breathe</x:v>
      </x:c>
    </x:row>
    <x:row r="12">
      <x:c r="A12" s="204" t="str">
        <x:v>speaking</x:v>
      </x:c>
      <x:c r="B12" s="204" t="str">
        <x:v>dialogue</x:v>
      </x:c>
      <x:c r="C12" s="221" t="b">
        <x:v>1</x:v>
      </x:c>
      <x:c r="D12" s="224" t="n">
        <x:v>10</x:v>
      </x:c>
      <x:c r="E12" s="224" t="str">
        <x:v>continuous</x:v>
      </x:c>
      <x:c r="F12" s="224" t="n">
        <x:v>30</x:v>
      </x:c>
      <x:c r="G12" s="204" t="str">
        <x:v>auxiliary • row1:1-8 subtle</x:v>
      </x:c>
      <x:c r="H12" s="204" t="str">
        <x:v>available</x:v>
      </x:c>
      <x:c r="I12" s="204" t="str">
        <x:v>bubble_tail_pulse</x:v>
      </x:c>
      <x:c r="J12" s="204" t="str">
        <x:v>idle_breathe</x:v>
      </x:c>
    </x:row>
    <x:row r="13">
      <x:c r="A13" s="204" t="str">
        <x:v>claude_channel</x:v>
      </x:c>
      <x:c r="B13" s="204" t="str">
        <x:v>agent</x:v>
      </x:c>
      <x:c r="C13" s="221" t="b">
        <x:v>1</x:v>
      </x:c>
      <x:c r="D13" s="224" t="n">
        <x:v>12</x:v>
      </x:c>
      <x:c r="E13" s="224" t="str">
        <x:v>continuous</x:v>
      </x:c>
      <x:c r="F13" s="224" t="n">
        <x:v>45</x:v>
      </x:c>
      <x:c r="G13" s="204" t="str">
        <x:v>motionAndVoid • front channel base</x:v>
      </x:c>
      <x:c r="H13" s="204" t="str">
        <x:v>new-fx-required</x:v>
      </x:c>
      <x:c r="I13" s="204" t="str">
        <x:v>claude_runes • amber_clockwise_ribbon • mace_lightning_quiet</x:v>
      </x:c>
      <x:c r="J13" s="204" t="str">
        <x:v>idle_breathe</x:v>
      </x:c>
    </x:row>
    <x:row r="14">
      <x:c r="A14" s="204" t="str">
        <x:v>codex_build</x:v>
      </x:c>
      <x:c r="B14" s="204" t="str">
        <x:v>agent</x:v>
      </x:c>
      <x:c r="C14" s="221" t="b">
        <x:v>1</x:v>
      </x:c>
      <x:c r="D14" s="224" t="n">
        <x:v>12</x:v>
      </x:c>
      <x:c r="E14" s="224" t="str">
        <x:v>continuous</x:v>
      </x:c>
      <x:c r="F14" s="224" t="n">
        <x:v>45</x:v>
      </x:c>
      <x:c r="G14" s="204" t="str">
        <x:v>motionAndVoid • front channel base</x:v>
      </x:c>
      <x:c r="H14" s="204" t="str">
        <x:v>new-fx-required</x:v>
      </x:c>
      <x:c r="I14" s="204" t="str">
        <x:v>codex_blueprint_grid • ice_shards_counterclockwise • mace_overclock</x:v>
      </x:c>
      <x:c r="J14" s="204" t="str">
        <x:v>idle_breathe</x:v>
      </x:c>
    </x:row>
    <x:row r="15">
      <x:c r="A15" s="204" t="str">
        <x:v>dual_agent_ascension</x:v>
      </x:c>
      <x:c r="B15" s="204" t="str">
        <x:v>agent</x:v>
      </x:c>
      <x:c r="C15" s="221" t="b">
        <x:v>1</x:v>
      </x:c>
      <x:c r="D15" s="224" t="n">
        <x:v>16</x:v>
      </x:c>
      <x:c r="E15" s="224" t="str">
        <x:v>continuous</x:v>
      </x:c>
      <x:c r="F15" s="224" t="n">
        <x:v>60</x:v>
      </x:c>
      <x:c r="G15" s="204" t="str">
        <x:v>motionAndVoid • void charge and cast study</x:v>
      </x:c>
      <x:c r="H15" s="204" t="str">
        <x:v>hero-animation-required</x:v>
      </x:c>
      <x:c r="I15" s="204" t="str">
        <x:v>claude_orbit • codex_orbit • nero_void_flame • white_mace_halo • invulnerability_shimmer</x:v>
      </x:c>
      <x:c r="J15" s="204" t="str">
        <x:v>idle_breathe</x:v>
      </x:c>
    </x:row>
    <x:row r="16">
      <x:c r="A16" s="204" t="str">
        <x:v>task_success</x:v>
      </x:c>
      <x:c r="B16" s="204" t="str">
        <x:v>result</x:v>
      </x:c>
      <x:c r="C16" s="221" t="b">
        <x:v>0</x:v>
      </x:c>
      <x:c r="D16" s="224" t="n">
        <x:v>14</x:v>
      </x:c>
      <x:c r="E16" s="224" t="n">
        <x:v>1500</x:v>
      </x:c>
      <x:c r="F16" s="224" t="n">
        <x:v>50</x:v>
      </x:c>
      <x:c r="G16" s="204" t="str">
        <x:v>motionAndVoid • heart/reaction study</x:v>
      </x:c>
      <x:c r="H16" s="204" t="str">
        <x:v>available-with-fx</x:v>
      </x:c>
      <x:c r="I16" s="204" t="str">
        <x:v>hard_success_ring • violet_confetti_sparks</x:v>
      </x:c>
      <x:c r="J16" s="204" t="str">
        <x:v>idle_breathe</x:v>
      </x:c>
    </x:row>
    <x:row r="17">
      <x:c r="A17" s="204" t="str">
        <x:v>task_failure</x:v>
      </x:c>
      <x:c r="B17" s="204" t="str">
        <x:v>result</x:v>
      </x:c>
      <x:c r="C17" s="221" t="b">
        <x:v>0</x:v>
      </x:c>
      <x:c r="D17" s="224" t="n">
        <x:v>12</x:v>
      </x:c>
      <x:c r="E17" s="224" t="n">
        <x:v>1700</x:v>
      </x:c>
      <x:c r="F17" s="224" t="n">
        <x:v>65</x:v>
      </x:c>
      <x:c r="G17" s="204" t="str">
        <x:v>TBD • mace plant and ground bonk</x:v>
      </x:c>
      <x:c r="H17" s="204" t="str">
        <x:v>missing</x:v>
      </x:c>
      <x:c r="I17" s="204" t="str">
        <x:v>red_violet_fault_rune • ground_crack_small</x:v>
      </x:c>
      <x:c r="J17" s="204" t="str">
        <x:v>attention_required</x:v>
      </x:c>
    </x:row>
    <x:row r="18">
      <x:c r="A18" s="204" t="str">
        <x:v>attention_required</x:v>
      </x:c>
      <x:c r="B18" s="204" t="str">
        <x:v>system</x:v>
      </x:c>
      <x:c r="C18" s="221" t="b">
        <x:v>1</x:v>
      </x:c>
      <x:c r="D18" s="224" t="n">
        <x:v>8</x:v>
      </x:c>
      <x:c r="E18" s="224" t="str">
        <x:v>continuous</x:v>
      </x:c>
      <x:c r="F18" s="224" t="n">
        <x:v>80</x:v>
      </x:c>
      <x:c r="G18" s="204" t="str">
        <x:v>auxiliary • row2:5-8 ping-pong</x:v>
      </x:c>
      <x:c r="H18" s="204" t="str">
        <x:v>available</x:v>
      </x:c>
      <x:c r="I18" s="204" t="str">
        <x:v>raised_hand_ping • magenta_edge_pulse</x:v>
      </x:c>
      <x:c r="J18" s="204" t="str">
        <x:v>idle_breathe</x:v>
      </x:c>
    </x:row>
    <x:row r="19">
      <x:c r="A19" s="204" t="str">
        <x:v>critical_alert</x:v>
      </x:c>
      <x:c r="B19" s="204" t="str">
        <x:v>system</x:v>
      </x:c>
      <x:c r="C19" s="221" t="b">
        <x:v>1</x:v>
      </x:c>
      <x:c r="D19" s="224" t="n">
        <x:v>12</x:v>
      </x:c>
      <x:c r="E19" s="224" t="str">
        <x:v>continuous</x:v>
      </x:c>
      <x:c r="F19" s="224" t="n">
        <x:v>100</x:v>
      </x:c>
      <x:c r="G19" s="204" t="str">
        <x:v>TBD • defensive mace stance</x:v>
      </x:c>
      <x:c r="H19" s="204" t="str">
        <x:v>missing</x:v>
      </x:c>
      <x:c r="I19" s="204" t="str">
        <x:v>critical_rune • wolf_eye_flare • screen_edge_pulse</x:v>
      </x:c>
      <x:c r="J19" s="204" t="str">
        <x:v>idle_breathe</x:v>
      </x:c>
    </x:row>
    <x:row r="20">
      <x:c r="A20" s="204" t="str">
        <x:v>repository_push</x:v>
      </x:c>
      <x:c r="B20" s="204" t="str">
        <x:v>result</x:v>
      </x:c>
      <x:c r="C20" s="221" t="b">
        <x:v>0</x:v>
      </x:c>
      <x:c r="D20" s="224" t="n">
        <x:v>14</x:v>
      </x:c>
      <x:c r="E20" s="224" t="n">
        <x:v>1200</x:v>
      </x:c>
      <x:c r="F20" s="224" t="n">
        <x:v>45</x:v>
      </x:c>
      <x:c r="G20" s="204" t="str">
        <x:v>TBD • mace flourish</x:v>
      </x:c>
      <x:c r="H20" s="204" t="str">
        <x:v>missing</x:v>
      </x:c>
      <x:c r="I20" s="204" t="str">
        <x:v>codex_cube_burst</x:v>
      </x:c>
      <x:c r="J20" s="204" t="str">
        <x:v>idle_breathe</x:v>
      </x:c>
    </x:row>
    <x:row r="21">
      <x:c r="A21" s="204" t="str">
        <x:v>run_to_anchor</x:v>
      </x:c>
      <x:c r="B21" s="204" t="str">
        <x:v>movement</x:v>
      </x:c>
      <x:c r="C21" s="221" t="b">
        <x:v>1</x:v>
      </x:c>
      <x:c r="D21" s="224" t="n">
        <x:v>14</x:v>
      </x:c>
      <x:c r="E21" s="224" t="str">
        <x:v>continuous</x:v>
      </x:c>
      <x:c r="F21" s="224" t="n">
        <x:v>25</x:v>
      </x:c>
      <x:c r="G21" s="204" t="str">
        <x:v>motionAndVoid • side-run rows</x:v>
      </x:c>
      <x:c r="H21" s="204" t="str">
        <x:v>available-needs-crop-map</x:v>
      </x:c>
      <x:c r="I21" s="204" t="str">
        <x:v>subtle_boot_sparks</x:v>
      </x:c>
      <x:c r="J21" s="204" t="str">
        <x:v>idle_breathe</x:v>
      </x:c>
    </x:row>
    <x:row r="22">
      <x:c r="A22" s="204" t="str">
        <x:v>dismiss_goodnight</x:v>
      </x:c>
      <x:c r="B22" s="204" t="str">
        <x:v>system</x:v>
      </x:c>
      <x:c r="C22" s="221" t="b">
        <x:v>0</x:v>
      </x:c>
      <x:c r="D22" s="224" t="n">
        <x:v>10</x:v>
      </x:c>
      <x:c r="E22" s="224" t="n">
        <x:v>1600</x:v>
      </x:c>
      <x:c r="F22" s="224" t="n">
        <x:v>40</x:v>
      </x:c>
      <x:c r="G22" s="204" t="str">
        <x:v>TBD • wave then void dissolve</x:v>
      </x:c>
      <x:c r="H22" s="204" t="str">
        <x:v>missing</x:v>
      </x:c>
      <x:c r="I22" s="204" t="str">
        <x:v>magenta_dissolve</x:v>
      </x:c>
      <x:c r="J22" s="204" t="str">
        <x:v>hidden</x:v>
      </x:c>
    </x:row>
    <x:row r="23">
      <x:c r="A23" s="205" t="str">
        <x:v>hidden</x:v>
      </x:c>
      <x:c r="B23" s="205" t="str">
        <x:v>system</x:v>
      </x:c>
      <x:c r="C23" s="222" t="b">
        <x:v>1</x:v>
      </x:c>
      <x:c r="D23" s="225" t="n">
        <x:v>1</x:v>
      </x:c>
      <x:c r="E23" s="225" t="str">
        <x:v>continuous</x:v>
      </x:c>
      <x:c r="F23" s="225" t="n">
        <x:v>-1</x:v>
      </x:c>
      <x:c r="G23" s="205" t="str">
        <x:v>none • none</x:v>
      </x:c>
      <x:c r="H23" s="205" t="str">
        <x:v>runtime-only</x:v>
      </x:c>
      <x:c r="I23" s="205" t="str"/>
      <x:c r="J23" s="205" t="str">
        <x:v>idle_breathe</x:v>
      </x:c>
    </x:row>
  </x:sheetData>
  <x:mergeCells>
    <x:mergeCell ref="A1:J1"/>
    <x:mergeCell ref="A2:J2"/>
  </x:mergeCells>
  <x:conditionalFormatting sqref="H5:H23">
    <x:cfRule type="containsText" dxfId="0" priority="1" operator="containsText" text="available"/>
    <x:cfRule type="containsText" dxfId="1" priority="2" operator="containsText" text="missing"/>
    <x:cfRule type="containsText" dxfId="2" priority="3" operator="containsText" text="required"/>
  </x:conditionalFormatting>
  <x:dataValidations count="1">
    <x:dataValidation type="list" sqref="H5:H23">
      <x:formula1>"available,available-with-fx,available-needs-crop-map,new-frames-recommended,new-fx-required,hero-animation-required,missing,optional,runtime-only"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da36b259de148c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42" hidden="0" customWidth="1"/>
    <x:col min="3" max="3" width="24" hidden="0" customWidth="1"/>
    <x:col min="4" max="4" width="16" hidden="0" customWidth="1"/>
    <x:col min="5" max="5" width="16" hidden="0" customWidth="1"/>
    <x:col min="6" max="6" width="28" hidden="0" customWidth="1"/>
    <x:col min="7" max="7" width="24" hidden="0" customWidth="1"/>
    <x:col min="8" max="8" width="24" hidden="0" customWidth="1"/>
  </x:cols>
  <x:sheetData>
    <x:row r="1" ht="34" customHeight="1">
      <x:c r="A1" s="3" t="str">
        <x:v>EVENT → STATE MATRIX</x:v>
      </x:c>
      <x:c r="B1" s="3"/>
      <x:c r="C1" s="3"/>
      <x:c r="D1" s="3"/>
      <x:c r="E1" s="3"/>
      <x:c r="F1" s="3"/>
      <x:c r="G1" s="3"/>
      <x:c r="H1" s="3"/>
    </x:row>
    <x:row r="2" ht="22" customHeight="1">
      <x:c r="A2" s="5" t="str">
        <x:v>The contract between Mission Control, agent activity, and Nero's body language</x:v>
      </x:c>
      <x:c r="B2" s="5"/>
      <x:c r="C2" s="5"/>
      <x:c r="D2" s="5"/>
      <x:c r="E2" s="5"/>
      <x:c r="F2" s="5"/>
      <x:c r="G2" s="5"/>
      <x:c r="H2" s="5"/>
    </x:row>
    <x:row r="4" ht="28" customHeight="1">
      <x:c r="A4" s="10" t="str">
        <x:v>Event</x:v>
      </x:c>
      <x:c r="B4" s="10" t="str">
        <x:v>Condition</x:v>
      </x:c>
      <x:c r="C4" s="10" t="str">
        <x:v>Target state</x:v>
      </x:c>
      <x:c r="D4" s="10" t="str">
        <x:v>Priority</x:v>
      </x:c>
      <x:c r="E4" s="10" t="str">
        <x:v>Interrupts idle</x:v>
      </x:c>
      <x:c r="F4" s="10" t="str">
        <x:v>User meaning</x:v>
      </x:c>
      <x:c r="G4" s="10" t="str">
        <x:v>Required payload</x:v>
      </x:c>
      <x:c r="H4" s="10" t="str">
        <x:v>Debounce / notes</x:v>
      </x:c>
    </x:row>
    <x:row r="5">
      <x:c r="A5" s="203" t="str">
        <x:v>runtime.started</x:v>
      </x:c>
      <x:c r="B5" s="203" t="str">
        <x:v>pet enabled</x:v>
      </x:c>
      <x:c r="C5" s="203" t="str">
        <x:v>boot_arrival</x:v>
      </x:c>
      <x:c r="D5" s="203" t="n">
        <x:v>70</x:v>
      </x:c>
      <x:c r="E5" s="203" t="str">
        <x:v>Yes</x:v>
      </x:c>
      <x:c r="F5" s="203" t="str">
        <x:v>Nero is online</x:v>
      </x:c>
      <x:c r="G5" s="203" t="str">
        <x:v>timestamp</x:v>
      </x:c>
      <x:c r="H5" s="203" t="str">
        <x:v>coalesce 750 ms</x:v>
      </x:c>
    </x:row>
    <x:row r="6">
      <x:c r="A6" s="204" t="str">
        <x:v>user.mentions_nero</x:v>
      </x:c>
      <x:c r="B6" s="204" t="str">
        <x:v>wake phrase or direct address</x:v>
      </x:c>
      <x:c r="C6" s="204" t="str">
        <x:v>listen_name_called</x:v>
      </x:c>
      <x:c r="D6" s="204" t="n">
        <x:v>35</x:v>
      </x:c>
      <x:c r="E6" s="204" t="str">
        <x:v>Yes</x:v>
      </x:c>
      <x:c r="F6" s="204" t="str">
        <x:v>Nero heard you</x:v>
      </x:c>
      <x:c r="G6" s="204" t="str">
        <x:v>timestamp</x:v>
      </x:c>
      <x:c r="H6" s="204" t="str">
        <x:v>coalesce 750 ms</x:v>
      </x:c>
    </x:row>
    <x:row r="7">
      <x:c r="A7" s="204" t="str">
        <x:v>nero.thinking</x:v>
      </x:c>
      <x:c r="B7" s="204" t="str">
        <x:v>response pending and no agent-specific work</x:v>
      </x:c>
      <x:c r="C7" s="204" t="str">
        <x:v>thinking</x:v>
      </x:c>
      <x:c r="D7" s="204" t="n">
        <x:v>30</x:v>
      </x:c>
      <x:c r="E7" s="204" t="str">
        <x:v>Yes</x:v>
      </x:c>
      <x:c r="F7" s="204" t="str">
        <x:v>Nero is preparing a response</x:v>
      </x:c>
      <x:c r="G7" s="204" t="str">
        <x:v>timestamp</x:v>
      </x:c>
      <x:c r="H7" s="204" t="str">
        <x:v>coalesce 750 ms</x:v>
      </x:c>
    </x:row>
    <x:row r="8">
      <x:c r="A8" s="204" t="str">
        <x:v>nero.speaking</x:v>
      </x:c>
      <x:c r="B8" s="204" t="str">
        <x:v>dialogue text streaming</x:v>
      </x:c>
      <x:c r="C8" s="204" t="str">
        <x:v>speaking</x:v>
      </x:c>
      <x:c r="D8" s="204" t="n">
        <x:v>30</x:v>
      </x:c>
      <x:c r="E8" s="204" t="str">
        <x:v>Yes</x:v>
      </x:c>
      <x:c r="F8" s="204" t="str">
        <x:v>Nero is responding</x:v>
      </x:c>
      <x:c r="G8" s="204" t="str">
        <x:v>timestamp</x:v>
      </x:c>
      <x:c r="H8" s="204" t="str">
        <x:v>coalesce 750 ms</x:v>
      </x:c>
    </x:row>
    <x:row r="9">
      <x:c r="A9" s="204" t="str">
        <x:v>claude.started</x:v>
      </x:c>
      <x:c r="B9" s="204" t="str">
        <x:v>Claude active and Codex inactive</x:v>
      </x:c>
      <x:c r="C9" s="204" t="str">
        <x:v>claude_channel</x:v>
      </x:c>
      <x:c r="D9" s="204" t="n">
        <x:v>45</x:v>
      </x:c>
      <x:c r="E9" s="204" t="str">
        <x:v>Yes</x:v>
      </x:c>
      <x:c r="F9" s="204" t="str">
        <x:v>Claude is reasoning</x:v>
      </x:c>
      <x:c r="G9" s="204" t="str">
        <x:v>timestamp</x:v>
      </x:c>
      <x:c r="H9" s="204" t="str">
        <x:v>coalesce 750 ms</x:v>
      </x:c>
    </x:row>
    <x:row r="10">
      <x:c r="A10" s="204" t="str">
        <x:v>codex.started</x:v>
      </x:c>
      <x:c r="B10" s="204" t="str">
        <x:v>Codex active and Claude inactive</x:v>
      </x:c>
      <x:c r="C10" s="204" t="str">
        <x:v>codex_build</x:v>
      </x:c>
      <x:c r="D10" s="204" t="n">
        <x:v>45</x:v>
      </x:c>
      <x:c r="E10" s="204" t="str">
        <x:v>Yes</x:v>
      </x:c>
      <x:c r="F10" s="204" t="str">
        <x:v>Codex is building</x:v>
      </x:c>
      <x:c r="G10" s="204" t="str">
        <x:v>timestamp</x:v>
      </x:c>
      <x:c r="H10" s="204" t="str">
        <x:v>coalesce 750 ms</x:v>
      </x:c>
    </x:row>
    <x:row r="11">
      <x:c r="A11" s="204" t="str">
        <x:v>agents.dual_active</x:v>
      </x:c>
      <x:c r="B11" s="204" t="str">
        <x:v>Claude and Codex active concurrently for at least 750ms</x:v>
      </x:c>
      <x:c r="C11" s="204" t="str">
        <x:v>dual_agent_ascension</x:v>
      </x:c>
      <x:c r="D11" s="204" t="n">
        <x:v>60</x:v>
      </x:c>
      <x:c r="E11" s="204" t="str">
        <x:v>Yes</x:v>
      </x:c>
      <x:c r="F11" s="204" t="str">
        <x:v>Both agents are active</x:v>
      </x:c>
      <x:c r="G11" s="204" t="str">
        <x:v>timestamp</x:v>
      </x:c>
      <x:c r="H11" s="204" t="str">
        <x:v>750 ms threshold</x:v>
      </x:c>
    </x:row>
    <x:row r="12">
      <x:c r="A12" s="204" t="str">
        <x:v>task.succeeded</x:v>
      </x:c>
      <x:c r="B12" s="204" t="str">
        <x:v>foreground task completed successfully</x:v>
      </x:c>
      <x:c r="C12" s="204" t="str">
        <x:v>task_success</x:v>
      </x:c>
      <x:c r="D12" s="204" t="n">
        <x:v>50</x:v>
      </x:c>
      <x:c r="E12" s="204" t="str">
        <x:v>Yes</x:v>
      </x:c>
      <x:c r="F12" s="204" t="str">
        <x:v>Work is confirmed complete</x:v>
      </x:c>
      <x:c r="G12" s="204" t="str">
        <x:v>taskId, result</x:v>
      </x:c>
      <x:c r="H12" s="204" t="str">
        <x:v>coalesce 750 ms</x:v>
      </x:c>
    </x:row>
    <x:row r="13">
      <x:c r="A13" s="204" t="str">
        <x:v>task.failed</x:v>
      </x:c>
      <x:c r="B13" s="204" t="str">
        <x:v>foreground task failed</x:v>
      </x:c>
      <x:c r="C13" s="204" t="str">
        <x:v>task_failure</x:v>
      </x:c>
      <x:c r="D13" s="204" t="n">
        <x:v>65</x:v>
      </x:c>
      <x:c r="E13" s="204" t="str">
        <x:v>Yes</x:v>
      </x:c>
      <x:c r="F13" s="204" t="str">
        <x:v>Work failed honestly</x:v>
      </x:c>
      <x:c r="G13" s="204" t="str">
        <x:v>taskId, result</x:v>
      </x:c>
      <x:c r="H13" s="204" t="str">
        <x:v>coalesce 750 ms</x:v>
      </x:c>
    </x:row>
    <x:row r="14">
      <x:c r="A14" s="204" t="str">
        <x:v>user.action_required</x:v>
      </x:c>
      <x:c r="B14" s="204" t="str">
        <x:v>approval, decision, or missing input</x:v>
      </x:c>
      <x:c r="C14" s="204" t="str">
        <x:v>attention_required</x:v>
      </x:c>
      <x:c r="D14" s="204" t="n">
        <x:v>80</x:v>
      </x:c>
      <x:c r="E14" s="204" t="str">
        <x:v>Yes</x:v>
      </x:c>
      <x:c r="F14" s="204" t="str">
        <x:v>Your decision is needed</x:v>
      </x:c>
      <x:c r="G14" s="204" t="str">
        <x:v>timestamp</x:v>
      </x:c>
      <x:c r="H14" s="204" t="str">
        <x:v>coalesce 750 ms</x:v>
      </x:c>
    </x:row>
    <x:row r="15">
      <x:c r="A15" s="204" t="str">
        <x:v>system.critical</x:v>
      </x:c>
      <x:c r="B15" s="204" t="str">
        <x:v>security, data-loss, or integrity risk</x:v>
      </x:c>
      <x:c r="C15" s="204" t="str">
        <x:v>critical_alert</x:v>
      </x:c>
      <x:c r="D15" s="204" t="n">
        <x:v>100</x:v>
      </x:c>
      <x:c r="E15" s="204" t="str">
        <x:v>Yes</x:v>
      </x:c>
      <x:c r="F15" s="204" t="str">
        <x:v>Immediate risk</x:v>
      </x:c>
      <x:c r="G15" s="204" t="str">
        <x:v>timestamp</x:v>
      </x:c>
      <x:c r="H15" s="204" t="str">
        <x:v>coalesce 750 ms</x:v>
      </x:c>
    </x:row>
    <x:row r="16">
      <x:c r="A16" s="204" t="str">
        <x:v>git.push_succeeded</x:v>
      </x:c>
      <x:c r="B16" s="204" t="str">
        <x:v>repository push confirmed</x:v>
      </x:c>
      <x:c r="C16" s="204" t="str">
        <x:v>repository_push</x:v>
      </x:c>
      <x:c r="D16" s="204" t="n">
        <x:v>45</x:v>
      </x:c>
      <x:c r="E16" s="204" t="str">
        <x:v>Yes</x:v>
      </x:c>
      <x:c r="F16" s="204" t="str">
        <x:v>Code was pushed</x:v>
      </x:c>
      <x:c r="G16" s="204" t="str">
        <x:v>timestamp</x:v>
      </x:c>
      <x:c r="H16" s="204" t="str">
        <x:v>coalesce 750 ms</x:v>
      </x:c>
    </x:row>
    <x:row r="17">
      <x:c r="A17" s="204" t="str">
        <x:v>pet.reposition</x:v>
      </x:c>
      <x:c r="B17" s="204" t="str">
        <x:v>anchor changed</x:v>
      </x:c>
      <x:c r="C17" s="204" t="str">
        <x:v>run_to_anchor</x:v>
      </x:c>
      <x:c r="D17" s="204" t="n">
        <x:v>25</x:v>
      </x:c>
      <x:c r="E17" s="204" t="str">
        <x:v>Yes</x:v>
      </x:c>
      <x:c r="F17" s="204" t="str">
        <x:v>Nero is moving</x:v>
      </x:c>
      <x:c r="G17" s="204" t="str">
        <x:v>timestamp</x:v>
      </x:c>
      <x:c r="H17" s="204" t="str">
        <x:v>coalesce 750 ms</x:v>
      </x:c>
    </x:row>
    <x:row r="18">
      <x:c r="A18" s="204" t="str">
        <x:v>pet.dismiss</x:v>
      </x:c>
      <x:c r="B18" s="204" t="str">
        <x:v>user dismisses pet</x:v>
      </x:c>
      <x:c r="C18" s="204" t="str">
        <x:v>dismiss_goodnight</x:v>
      </x:c>
      <x:c r="D18" s="204" t="n">
        <x:v>40</x:v>
      </x:c>
      <x:c r="E18" s="204" t="str">
        <x:v>Yes</x:v>
      </x:c>
      <x:c r="F18" s="204" t="str">
        <x:v>Nero is leaving</x:v>
      </x:c>
      <x:c r="G18" s="204" t="str">
        <x:v>timestamp</x:v>
      </x:c>
      <x:c r="H18" s="204" t="str">
        <x:v>coalesce 750 ms</x:v>
      </x:c>
    </x:row>
    <x:row r="19">
      <x:c r="A19" s="205" t="str">
        <x:v>all.work_complete</x:v>
      </x:c>
      <x:c r="B19" s="205" t="str">
        <x:v>no work and no unresolved attention state</x:v>
      </x:c>
      <x:c r="C19" s="205" t="str">
        <x:v>idle_breathe</x:v>
      </x:c>
      <x:c r="D19" s="205" t="n">
        <x:v>1</x:v>
      </x:c>
      <x:c r="E19" s="205" t="str">
        <x:v>Yes</x:v>
      </x:c>
      <x:c r="F19" s="205" t="str">
        <x:v>System is calm</x:v>
      </x:c>
      <x:c r="G19" s="205" t="str">
        <x:v>timestamp</x:v>
      </x:c>
      <x:c r="H19" s="205" t="str">
        <x:v>coalesce 750 ms</x:v>
      </x:c>
    </x:row>
  </x:sheetData>
  <x:mergeCells>
    <x:mergeCell ref="A1:H1"/>
    <x:mergeCell ref="A2:H2"/>
  </x:mergeCells>
  <x:conditionalFormatting sqref="D5:D19">
    <x:cfRule type="colorScale" priority="1">
      <x:colorScale>
        <x:cfvo type="min"/>
        <x:cfvo type="percentile" val="50"/>
        <x:cfvo type="max"/>
        <x:color rgb="FF56E39F"/>
        <x:color rgb="FFF2B84B"/>
        <x:color rgb="FFFF637D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c2bbbec74d29465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44" hidden="0" customWidth="1"/>
    <x:col min="3" max="3" width="17" hidden="0" customWidth="1"/>
    <x:col min="4" max="4" width="17" hidden="0" customWidth="1"/>
    <x:col min="5" max="5" width="17" hidden="0" customWidth="1"/>
    <x:col min="6" max="6" width="30" hidden="0" customWidth="1"/>
    <x:col min="7" max="7" width="17" hidden="0" customWidth="1"/>
    <x:col min="8" max="8" width="34" hidden="0" customWidth="1"/>
    <x:col min="9" max="9" width="17" hidden="0" customWidth="1"/>
  </x:cols>
  <x:sheetData>
    <x:row r="1" ht="34" customHeight="1">
      <x:c r="A1" s="3" t="str">
        <x:v>ASSET REGISTER</x:v>
      </x:c>
      <x:c r="B1" s="3"/>
      <x:c r="C1" s="3"/>
      <x:c r="D1" s="3"/>
      <x:c r="E1" s="3"/>
      <x:c r="F1" s="3"/>
      <x:c r="G1" s="3"/>
      <x:c r="H1" s="3"/>
      <x:c r="I1" s="3"/>
    </x:row>
    <x:row r="2" ht="22" customHeight="1">
      <x:c r="A2" s="5" t="str">
        <x:v>What exists, what it proves, and what production still needs</x:v>
      </x:c>
      <x:c r="B2" s="5"/>
      <x:c r="C2" s="5"/>
      <x:c r="D2" s="5"/>
      <x:c r="E2" s="5"/>
      <x:c r="F2" s="5"/>
      <x:c r="G2" s="5"/>
      <x:c r="H2" s="5"/>
      <x:c r="I2" s="5"/>
    </x:row>
    <x:row r="4" ht="28" customHeight="1">
      <x:c r="A4" s="10" t="str">
        <x:v>Asset ID</x:v>
      </x:c>
      <x:c r="B4" s="10" t="str">
        <x:v>File</x:v>
      </x:c>
      <x:c r="C4" s="10" t="str">
        <x:v>Type</x:v>
      </x:c>
      <x:c r="D4" s="10" t="str">
        <x:v>Dimensions</x:v>
      </x:c>
      <x:c r="E4" s="10" t="str">
        <x:v>Layout</x:v>
      </x:c>
      <x:c r="F4" s="10" t="str">
        <x:v>Purpose</x:v>
      </x:c>
      <x:c r="G4" s="10" t="str">
        <x:v>Readiness</x:v>
      </x:c>
      <x:c r="H4" s="10" t="str">
        <x:v>Production action</x:v>
      </x:c>
      <x:c r="I4" s="10" t="str">
        <x:v>Identity authority</x:v>
      </x:c>
    </x:row>
    <x:row r="5">
      <x:c r="A5" s="203" t="str">
        <x:v>sprite_aux</x:v>
      </x:c>
      <x:c r="B5" s="203" t="str">
        <x:v>nero-voidcaster-auxiliary.webp</x:v>
      </x:c>
      <x:c r="C5" s="203" t="str">
        <x:v>sprite sheet</x:v>
      </x:c>
      <x:c r="D5" s="203" t="str">
        <x:v>1536×416</x:v>
      </x:c>
      <x:c r="E5" s="203" t="str">
        <x:v>8×2 • 192×208</x:v>
      </x:c>
      <x:c r="F5" s="203" t="str">
        <x:v>Idle and reactions</x:v>
      </x:c>
      <x:c r="G5" s="203" t="str">
        <x:v>Usable</x:v>
      </x:c>
      <x:c r="H5" s="203" t="str">
        <x:v>Remove black background / verify alpha</x:v>
      </x:c>
      <x:c r="I5" s="203" t="str">
        <x:v>Medium</x:v>
      </x:c>
    </x:row>
    <x:row r="6">
      <x:c r="A6" s="204" t="str">
        <x:v>sprite_motion</x:v>
      </x:c>
      <x:c r="B6" s="204" t="str">
        <x:v>void-elf running cycle sprite repairs.png</x:v>
      </x:c>
      <x:c r="C6" s="204" t="str">
        <x:v>sprite sheet</x:v>
      </x:c>
      <x:c r="D6" s="204" t="str">
        <x:v>984×1599</x:v>
      </x:c>
      <x:c r="E6" s="204" t="str">
        <x:v>6 columns • mixed rows</x:v>
      </x:c>
      <x:c r="F6" s="204" t="str">
        <x:v>Run and void-cast studies</x:v>
      </x:c>
      <x:c r="G6" s="204" t="str">
        <x:v>Needs mapping</x:v>
      </x:c>
      <x:c r="H6" s="204" t="str">
        <x:v>Create exact crop map and normalized cells</x:v>
      </x:c>
      <x:c r="I6" s="204" t="str">
        <x:v>Medium</x:v>
      </x:c>
    </x:row>
    <x:row r="7">
      <x:c r="A7" s="204" t="str">
        <x:v>ref_face</x:v>
      </x:c>
      <x:c r="B7" s="204" t="str">
        <x:v>71D7FF5E-FD0D-4508-8204-1A7F879B8963.jpeg</x:v>
      </x:c>
      <x:c r="C7" s="204" t="str">
        <x:v>render</x:v>
      </x:c>
      <x:c r="D7" s="204" t="str">
        <x:v>841×841</x:v>
      </x:c>
      <x:c r="E7" s="204" t="str">
        <x:v>single</x:v>
      </x:c>
      <x:c r="F7" s="204" t="str">
        <x:v>Face, hair, glasses, pauldrons</x:v>
      </x:c>
      <x:c r="G7" s="204" t="str">
        <x:v>Reference</x:v>
      </x:c>
      <x:c r="H7" s="204" t="str">
        <x:v>Keep unchanged</x:v>
      </x:c>
      <x:c r="I7" s="204" t="str">
        <x:v>Highest</x:v>
      </x:c>
    </x:row>
    <x:row r="8">
      <x:c r="A8" s="204" t="str">
        <x:v>ref_body</x:v>
      </x:c>
      <x:c r="B8" s="204" t="str">
        <x:v>CDC3615A-7EF1-468D-809E-D0D184D8CF9C.jpeg</x:v>
      </x:c>
      <x:c r="C8" s="204" t="str">
        <x:v>render</x:v>
      </x:c>
      <x:c r="D8" s="204" t="str">
        <x:v>1024×1536</x:v>
      </x:c>
      <x:c r="E8" s="204" t="str">
        <x:v>single</x:v>
      </x:c>
      <x:c r="F8" s="204" t="str">
        <x:v>Armor, cloak, proportions</x:v>
      </x:c>
      <x:c r="G8" s="204" t="str">
        <x:v>Reference</x:v>
      </x:c>
      <x:c r="H8" s="204" t="str">
        <x:v>Keep unchanged</x:v>
      </x:c>
      <x:c r="I8" s="204" t="str">
        <x:v>Highest</x:v>
      </x:c>
    </x:row>
    <x:row r="9">
      <x:c r="A9" s="204" t="str">
        <x:v>ref_mace</x:v>
      </x:c>
      <x:c r="B9" s="204" t="str">
        <x:v>1408527E-D43C-4FB0-A92E-4D10F7AFC5AA.jpeg</x:v>
      </x:c>
      <x:c r="C9" s="204" t="str">
        <x:v>render</x:v>
      </x:c>
      <x:c r="D9" s="204" t="str">
        <x:v>1024×1536</x:v>
      </x:c>
      <x:c r="E9" s="204" t="str">
        <x:v>single</x:v>
      </x:c>
      <x:c r="F9" s="204" t="str">
        <x:v>Weapon silhouette and energy</x:v>
      </x:c>
      <x:c r="G9" s="204" t="str">
        <x:v>Reference</x:v>
      </x:c>
      <x:c r="H9" s="204" t="str">
        <x:v>Preserve mace-head geometry</x:v>
      </x:c>
      <x:c r="I9" s="204" t="str">
        <x:v>Highest</x:v>
      </x:c>
    </x:row>
    <x:row r="10">
      <x:c r="A10" s="204" t="str">
        <x:v>fx_claude</x:v>
      </x:c>
      <x:c r="B10" s="204" t="str">
        <x:v>TBD</x:v>
      </x:c>
      <x:c r="C10" s="204" t="str">
        <x:v>FX atlas</x:v>
      </x:c>
      <x:c r="D10" s="204" t="str">
        <x:v>TBD</x:v>
      </x:c>
      <x:c r="E10" s="204" t="str">
        <x:v>TBD</x:v>
      </x:c>
      <x:c r="F10" s="204" t="str">
        <x:v>Amber runes and ribbons</x:v>
      </x:c>
      <x:c r="G10" s="204" t="str">
        <x:v>Missing</x:v>
      </x:c>
      <x:c r="H10" s="204" t="str">
        <x:v>Create new alpha atlas</x:v>
      </x:c>
      <x:c r="I10" s="204" t="str">
        <x:v>N/A</x:v>
      </x:c>
    </x:row>
    <x:row r="11">
      <x:c r="A11" s="204" t="str">
        <x:v>fx_codex</x:v>
      </x:c>
      <x:c r="B11" s="204" t="str">
        <x:v>TBD</x:v>
      </x:c>
      <x:c r="C11" s="204" t="str">
        <x:v>FX atlas</x:v>
      </x:c>
      <x:c r="D11" s="204" t="str">
        <x:v>TBD</x:v>
      </x:c>
      <x:c r="E11" s="204" t="str">
        <x:v>TBD</x:v>
      </x:c>
      <x:c r="F11" s="204" t="str">
        <x:v>Ice grids and shards</x:v>
      </x:c>
      <x:c r="G11" s="204" t="str">
        <x:v>Missing</x:v>
      </x:c>
      <x:c r="H11" s="204" t="str">
        <x:v>Create new alpha atlas</x:v>
      </x:c>
      <x:c r="I11" s="204" t="str">
        <x:v>N/A</x:v>
      </x:c>
    </x:row>
    <x:row r="12">
      <x:c r="A12" s="205" t="str">
        <x:v>fx_dual</x:v>
      </x:c>
      <x:c r="B12" s="205" t="str">
        <x:v>TBD</x:v>
      </x:c>
      <x:c r="C12" s="205" t="str">
        <x:v>hero sequence</x:v>
      </x:c>
      <x:c r="D12" s="205" t="str">
        <x:v>TBD</x:v>
      </x:c>
      <x:c r="E12" s="205" t="str">
        <x:v>TBD</x:v>
      </x:c>
      <x:c r="F12" s="205" t="str">
        <x:v>Dual-agent ascension</x:v>
      </x:c>
      <x:c r="G12" s="205" t="str">
        <x:v>Missing</x:v>
      </x:c>
      <x:c r="H12" s="205" t="str">
        <x:v>Storyboard and animate</x:v>
      </x:c>
      <x:c r="I12" s="205" t="str">
        <x:v>High</x:v>
      </x:c>
    </x:row>
  </x:sheetData>
  <x:mergeCells>
    <x:mergeCell ref="A1:I1"/>
    <x:mergeCell ref="A2:I2"/>
  </x:mergeCells>
  <x:conditionalFormatting sqref="G5:G12">
    <x:cfRule type="containsText" dxfId="3" priority="1" operator="containsText" text="Missing"/>
    <x:cfRule type="containsText" dxfId="4" priority="2" operator="containsText" text="Usable"/>
  </x:conditionalFormatting>
  <x:dataValidations count="1">
    <x:dataValidation type="list" sqref="G5:G12">
      <x:formula1>"Usable,Needs mapping,Reference,Missing"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111d41bbc274e7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29" hidden="0" customWidth="1"/>
    <x:col min="7" max="7" width="29" hidden="0" customWidth="1"/>
    <x:col min="8" max="8" width="29" hidden="0" customWidth="1"/>
  </x:cols>
  <x:sheetData>
    <x:row r="1" ht="34" customHeight="1">
      <x:c r="A1" s="3" t="str">
        <x:v>PALETTE &amp; FX LANGUAGE</x:v>
      </x:c>
      <x:c r="B1" s="3"/>
      <x:c r="C1" s="3"/>
      <x:c r="D1" s="3"/>
      <x:c r="E1" s="3"/>
      <x:c r="F1" s="3"/>
      <x:c r="G1" s="3"/>
      <x:c r="H1" s="3"/>
    </x:row>
    <x:row r="2" ht="22" customHeight="1">
      <x:c r="A2" s="5" t="str">
        <x:v>Color is semantic; motion and geometry keep every agent readable without labels</x:v>
      </x:c>
      <x:c r="B2" s="5"/>
      <x:c r="C2" s="5"/>
      <x:c r="D2" s="5"/>
      <x:c r="E2" s="5"/>
      <x:c r="F2" s="5"/>
      <x:c r="G2" s="5"/>
      <x:c r="H2" s="5"/>
    </x:row>
    <x:row r="4" ht="28" customHeight="1">
      <x:c r="A4" s="10" t="str">
        <x:v>System</x:v>
      </x:c>
      <x:c r="B4" s="10" t="str">
        <x:v>Role</x:v>
      </x:c>
      <x:c r="C4" s="10" t="str">
        <x:v>Primary 1</x:v>
      </x:c>
      <x:c r="D4" s="10" t="str">
        <x:v>Primary 2</x:v>
      </x:c>
      <x:c r="E4" s="10" t="str">
        <x:v>Primary 3</x:v>
      </x:c>
      <x:c r="F4" s="10" t="str">
        <x:v>Motion grammar</x:v>
      </x:c>
      <x:c r="G4" s="10" t="str">
        <x:v>Geometry</x:v>
      </x:c>
      <x:c r="H4" s="10" t="str">
        <x:v>Never</x:v>
      </x:c>
    </x:row>
    <x:row r="5">
      <x:c r="A5" s="203" t="str">
        <x:v>Nero</x:v>
      </x:c>
      <x:c r="B5" s="203" t="str">
        <x:v>Void Guardian</x:v>
      </x:c>
      <x:c r="C5" s="229" t="str">
        <x:v>#FF2DAA</x:v>
      </x:c>
      <x:c r="D5" s="230" t="str">
        <x:v>#B533FF</x:v>
      </x:c>
      <x:c r="E5" s="231" t="str">
        <x:v>#6D28D9</x:v>
      </x:c>
      <x:c r="F5" s="203" t="str">
        <x:v>Pulse outward; contained violence</x:v>
      </x:c>
      <x:c r="G5" s="203" t="str">
        <x:v>Void flame, armor core, lightning</x:v>
      </x:c>
      <x:c r="H5" s="203" t="str">
        <x:v>Holy aura or cute pastel</x:v>
      </x:c>
    </x:row>
    <x:row r="6">
      <x:c r="A6" s="204" t="str">
        <x:v>Claude</x:v>
      </x:c>
      <x:c r="B6" s="204" t="str">
        <x:v>Scholar / Architect</x:v>
      </x:c>
      <x:c r="C6" s="235" t="str">
        <x:v>#E58A3A</x:v>
      </x:c>
      <x:c r="D6" s="236" t="str">
        <x:v>#F2B84B</x:v>
      </x:c>
      <x:c r="E6" s="237" t="str">
        <x:v>#FFE0A3</x:v>
      </x:c>
      <x:c r="F6" s="204" t="str">
        <x:v>Clockwise, slow, flowing</x:v>
      </x:c>
      <x:c r="G6" s="204" t="str">
        <x:v>Runes, ribbons, paper, circles</x:v>
      </x:c>
      <x:c r="H6" s="204" t="str">
        <x:v>Purple or crackling machinery</x:v>
      </x:c>
    </x:row>
    <x:row r="7">
      <x:c r="A7" s="204" t="str">
        <x:v>Codex</x:v>
      </x:c>
      <x:c r="B7" s="204" t="str">
        <x:v>Engineer / Builder</x:v>
      </x:c>
      <x:c r="C7" s="241" t="str">
        <x:v>#DFF7FF</x:v>
      </x:c>
      <x:c r="D7" s="242" t="str">
        <x:v>#8DE3FF</x:v>
      </x:c>
      <x:c r="E7" s="243" t="str">
        <x:v>#45BFFF</x:v>
      </x:c>
      <x:c r="F7" s="204" t="str">
        <x:v>Counterclockwise, precise, stepped</x:v>
      </x:c>
      <x:c r="G7" s="204" t="str">
        <x:v>Grid, hexagon, wireframe, shard</x:v>
      </x:c>
      <x:c r="H7" s="204" t="str">
        <x:v>Dark navy dominance or organic runes</x:v>
      </x:c>
    </x:row>
    <x:row r="8">
      <x:c r="A8" s="205" t="str">
        <x:v>Dual</x:v>
      </x:c>
      <x:c r="B8" s="205" t="str">
        <x:v>Orchestration</x:v>
      </x:c>
      <x:c r="C8" s="205" t="str">
        <x:v>distinct</x:v>
      </x:c>
      <x:c r="D8" s="205" t="str">
        <x:v>distinct</x:v>
      </x:c>
      <x:c r="E8" s="205" t="str">
        <x:v>near-white mace core</x:v>
      </x:c>
      <x:c r="F8" s="205" t="str">
        <x:v>Separate orbits around Nero</x:v>
      </x:c>
      <x:c r="G8" s="205" t="str">
        <x:v>Three systems, one focal point</x:v>
      </x:c>
      <x:c r="H8" s="205" t="str">
        <x:v>Gradient soup / identity loss</x:v>
      </x:c>
    </x:row>
    <x:row r="11" ht="26" customHeight="1">
      <x:c r="A11" s="51" t="str">
        <x:v>EFFECT BUDGET &amp; ACCESSIBILITY</x:v>
      </x:c>
      <x:c r="B11" s="51" t="str">
        <x:v>EFFECT BUDGET &amp; ACCESSIBILITY</x:v>
      </x:c>
      <x:c r="C11" s="51" t="str">
        <x:v>EFFECT BUDGET &amp; ACCESSIBILITY</x:v>
      </x:c>
      <x:c r="D11" s="51" t="str">
        <x:v>EFFECT BUDGET &amp; ACCESSIBILITY</x:v>
      </x:c>
      <x:c r="E11" s="51" t="str">
        <x:v>EFFECT BUDGET &amp; ACCESSIBILITY</x:v>
      </x:c>
      <x:c r="F11" s="51" t="str">
        <x:v>EFFECT BUDGET &amp; ACCESSIBILITY</x:v>
      </x:c>
      <x:c r="G11" s="51" t="str">
        <x:v>EFFECT BUDGET &amp; ACCESSIBILITY</x:v>
      </x:c>
      <x:c r="H11" s="51" t="str">
        <x:v>EFFECT BUDGET &amp; ACCESSIBILITY</x:v>
      </x:c>
    </x:row>
    <x:row r="12" ht="28" customHeight="1">
      <x:c r="A12" s="195" t="str">
        <x:v>Constraint</x:v>
      </x:c>
      <x:c r="B12" s="195" t="str">
        <x:v>Default</x:v>
      </x:c>
      <x:c r="C12" s="195" t="str">
        <x:v>Reduced motion</x:v>
      </x:c>
      <x:c r="D12" s="195" t="str">
        <x:v>Photosensitive-safe</x:v>
      </x:c>
      <x:c r="E12" s="195" t="str">
        <x:v>Performance rule</x:v>
      </x:c>
      <x:c r="F12" s="195" t="str">
        <x:v>Semantic fallback</x:v>
      </x:c>
      <x:c r="G12" s="195" t="str">
        <x:v>Owner</x:v>
      </x:c>
      <x:c r="H12" s="195" t="str">
        <x:v>Acceptance</x:v>
      </x:c>
    </x:row>
    <x:row r="13">
      <x:c r="A13" s="203" t="str">
        <x:v>Orbit effects</x:v>
      </x:c>
      <x:c r="B13" s="203" t="str">
        <x:v>Enabled</x:v>
      </x:c>
      <x:c r="C13" s="203" t="str">
        <x:v>Static badges</x:v>
      </x:c>
      <x:c r="D13" s="203" t="str">
        <x:v>≤2 Hz flashes</x:v>
      </x:c>
      <x:c r="E13" s="203" t="str">
        <x:v>Max 3 orbit layers</x:v>
      </x:c>
      <x:c r="F13" s="203" t="str">
        <x:v>Agent icon + label</x:v>
      </x:c>
      <x:c r="G13" s="203" t="str">
        <x:v>Runtime</x:v>
      </x:c>
      <x:c r="H13" s="203" t="str">
        <x:v>Readable at 1×</x:v>
      </x:c>
    </x:row>
    <x:row r="14">
      <x:c r="A14" s="204" t="str">
        <x:v>Particles</x:v>
      </x:c>
      <x:c r="B14" s="204" t="str">
        <x:v>Low/medium</x:v>
      </x:c>
      <x:c r="C14" s="204" t="str">
        <x:v>Sparse</x:v>
      </x:c>
      <x:c r="D14" s="204" t="str">
        <x:v>No full-screen white</x:v>
      </x:c>
      <x:c r="E14" s="204" t="str">
        <x:v>Max 5 emitters</x:v>
      </x:c>
      <x:c r="F14" s="204" t="str">
        <x:v>Colored edge pulse</x:v>
      </x:c>
      <x:c r="G14" s="204" t="str">
        <x:v>FX</x:v>
      </x:c>
      <x:c r="H14" s="204" t="str">
        <x:v>No frame hitch</x:v>
      </x:c>
    </x:row>
    <x:row r="15">
      <x:c r="A15" s="204" t="str">
        <x:v>Typewriter</x:v>
      </x:c>
      <x:c r="B15" s="204" t="str">
        <x:v>52 cps</x:v>
      </x:c>
      <x:c r="C15" s="204" t="str">
        <x:v>Whole-word reveal</x:v>
      </x:c>
      <x:c r="D15" s="204" t="str">
        <x:v>N/A</x:v>
      </x:c>
      <x:c r="E15" s="204" t="str">
        <x:v>No layout thrash</x:v>
      </x:c>
      <x:c r="F15" s="204" t="str">
        <x:v>Instant text</x:v>
      </x:c>
      <x:c r="G15" s="204" t="str">
        <x:v>UI</x:v>
      </x:c>
      <x:c r="H15" s="204" t="str">
        <x:v>10 visible lines</x:v>
      </x:c>
    </x:row>
    <x:row r="16">
      <x:c r="A16" s="205" t="str">
        <x:v>Mace lightning</x:v>
      </x:c>
      <x:c r="B16" s="205" t="str">
        <x:v>Reactive</x:v>
      </x:c>
      <x:c r="C16" s="205" t="str">
        <x:v>Static glow</x:v>
      </x:c>
      <x:c r="D16" s="205" t="str">
        <x:v>≤2 Hz</x:v>
      </x:c>
      <x:c r="E16" s="205" t="str">
        <x:v>Pool bolt sprites</x:v>
      </x:c>
      <x:c r="F16" s="205" t="str">
        <x:v>Cyan charge badge</x:v>
      </x:c>
      <x:c r="G16" s="205" t="str">
        <x:v>FX</x:v>
      </x:c>
      <x:c r="H16" s="205" t="str">
        <x:v>Weapon stays visible</x:v>
      </x:c>
    </x:row>
  </x:sheetData>
  <x:mergeCells>
    <x:mergeCell ref="A1:H1"/>
    <x:mergeCell ref="A2:H2"/>
    <x:mergeCell ref="A11:H1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30" hidden="0" customWidth="1"/>
    <x:col min="3" max="3" width="30" hidden="0" customWidth="1"/>
    <x:col min="4" max="4" width="30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31" hidden="0" customWidth="1"/>
    <x:col min="10" max="10" width="31" hidden="0" customWidth="1"/>
  </x:cols>
  <x:sheetData>
    <x:row r="1" ht="34" customHeight="1">
      <x:c r="A1" s="3" t="str">
        <x:v>IMPLEMENTATION ROADMAP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22" customHeight="1">
      <x:c r="A2" s="5" t="str">
        <x:v>A dependency-aware build order Codex can execute without guessing</x:v>
      </x:c>
      <x:c r="B2" s="5"/>
      <x:c r="C2" s="5"/>
      <x:c r="D2" s="5"/>
      <x:c r="E2" s="5"/>
      <x:c r="F2" s="5"/>
      <x:c r="G2" s="5"/>
      <x:c r="H2" s="5"/>
      <x:c r="I2" s="5"/>
      <x:c r="J2" s="5"/>
    </x:row>
    <x:row r="4" ht="28" customHeight="1">
      <x:c r="A4" s="10" t="str">
        <x:v>Phase</x:v>
      </x:c>
      <x:c r="B4" s="10" t="str">
        <x:v>Work package</x:v>
      </x:c>
      <x:c r="C4" s="10" t="str">
        <x:v>Deliverable</x:v>
      </x:c>
      <x:c r="D4" s="10" t="str">
        <x:v>Dependency</x:v>
      </x:c>
      <x:c r="E4" s="10" t="str">
        <x:v>Owner</x:v>
      </x:c>
      <x:c r="F4" s="10" t="str">
        <x:v>Priority</x:v>
      </x:c>
      <x:c r="G4" s="10" t="str">
        <x:v>Status</x:v>
      </x:c>
      <x:c r="H4" s="10" t="str">
        <x:v>Est. days</x:v>
      </x:c>
      <x:c r="I4" s="10" t="str">
        <x:v>Acceptance gate</x:v>
      </x:c>
      <x:c r="J4" s="10" t="str">
        <x:v>Notes</x:v>
      </x:c>
    </x:row>
    <x:row r="5">
      <x:c r="A5" s="203" t="n">
        <x:v>0</x:v>
      </x:c>
      <x:c r="B5" s="203" t="str">
        <x:v>Asset normalization</x:v>
      </x:c>
      <x:c r="C5" s="203" t="str">
        <x:v>Transparent, normalized sprite atlases</x:v>
      </x:c>
      <x:c r="D5" s="203" t="str">
        <x:v>None</x:v>
      </x:c>
      <x:c r="E5" s="203" t="str">
        <x:v>Art + Codex</x:v>
      </x:c>
      <x:c r="F5" s="203" t="str">
        <x:v>P0</x:v>
      </x:c>
      <x:c r="G5" s="203" t="str">
        <x:v>Not Started</x:v>
      </x:c>
      <x:c r="H5" s="203" t="n">
        <x:v>2</x:v>
      </x:c>
      <x:c r="I5" s="203" t="str">
        <x:v>No black matte; integer-scale crisp</x:v>
      </x:c>
      <x:c r="J5" s="203" t="str">
        <x:v>Preserve source files</x:v>
      </x:c>
    </x:row>
    <x:row r="6">
      <x:c r="A6" s="204" t="n">
        <x:v>0</x:v>
      </x:c>
      <x:c r="B6" s="204" t="str">
        <x:v>Crop-map verification</x:v>
      </x:c>
      <x:c r="C6" s="204" t="str">
        <x:v>Exact frame rectangles and pivots</x:v>
      </x:c>
      <x:c r="D6" s="204" t="str">
        <x:v>Asset normalization</x:v>
      </x:c>
      <x:c r="E6" s="204" t="str">
        <x:v>Codex</x:v>
      </x:c>
      <x:c r="F6" s="204" t="str">
        <x:v>P0</x:v>
      </x:c>
      <x:c r="G6" s="204" t="str">
        <x:v>Not Started</x:v>
      </x:c>
      <x:c r="H6" s="204" t="n">
        <x:v>1</x:v>
      </x:c>
      <x:c r="I6" s="204" t="str">
        <x:v>Every frame slices correctly</x:v>
      </x:c>
      <x:c r="J6" s="204" t="str">
        <x:v>Do not infer mixed rows</x:v>
      </x:c>
    </x:row>
    <x:row r="7">
      <x:c r="A7" s="204" t="n">
        <x:v>1</x:v>
      </x:c>
      <x:c r="B7" s="204" t="str">
        <x:v>Runtime state machine</x:v>
      </x:c>
      <x:c r="C7" s="204" t="str">
        <x:v>Priority queue, interrupts, fallback</x:v>
      </x:c>
      <x:c r="D7" s="204" t="str">
        <x:v>Crop map</x:v>
      </x:c>
      <x:c r="E7" s="204" t="str">
        <x:v>Codex</x:v>
      </x:c>
      <x:c r="F7" s="204" t="str">
        <x:v>P0</x:v>
      </x:c>
      <x:c r="G7" s="204" t="str">
        <x:v>Not Started</x:v>
      </x:c>
      <x:c r="H7" s="204" t="n">
        <x:v>3</x:v>
      </x:c>
      <x:c r="I7" s="204" t="str">
        <x:v>Missing asset never crashes</x:v>
      </x:c>
      <x:c r="J7" s="204" t="str">
        <x:v>Use JSON as source of truth</x:v>
      </x:c>
    </x:row>
    <x:row r="8">
      <x:c r="A8" s="204" t="n">
        <x:v>1</x:v>
      </x:c>
      <x:c r="B8" s="204" t="str">
        <x:v>Event bridge</x:v>
      </x:c>
      <x:c r="C8" s="204" t="str">
        <x:v>Claude/Codex/task/git signals</x:v>
      </x:c>
      <x:c r="D8" s="204" t="str">
        <x:v>State machine</x:v>
      </x:c>
      <x:c r="E8" s="204" t="str">
        <x:v>Codex</x:v>
      </x:c>
      <x:c r="F8" s="204" t="str">
        <x:v>P0</x:v>
      </x:c>
      <x:c r="G8" s="204" t="str">
        <x:v>Not Started</x:v>
      </x:c>
      <x:c r="H8" s="204" t="n">
        <x:v>3</x:v>
      </x:c>
      <x:c r="I8" s="204" t="str">
        <x:v>No false completion states</x:v>
      </x:c>
      <x:c r="J8" s="204" t="str">
        <x:v>Payload schema validated</x:v>
      </x:c>
    </x:row>
    <x:row r="9">
      <x:c r="A9" s="204" t="n">
        <x:v>2</x:v>
      </x:c>
      <x:c r="B9" s="204" t="str">
        <x:v>Dialogue bubble</x:v>
      </x:c>
      <x:c r="C9" s="204" t="str">
        <x:v>Growth, typing, scroll, channels</x:v>
      </x:c>
      <x:c r="D9" s="204" t="str">
        <x:v>State machine</x:v>
      </x:c>
      <x:c r="E9" s="204" t="str">
        <x:v>Codex</x:v>
      </x:c>
      <x:c r="F9" s="204" t="str">
        <x:v>P1</x:v>
      </x:c>
      <x:c r="G9" s="204" t="str">
        <x:v>Not Started</x:v>
      </x:c>
      <x:c r="H9" s="204" t="n">
        <x:v>3</x:v>
      </x:c>
      <x:c r="I9" s="204" t="str">
        <x:v>10 lines then scroll</x:v>
      </x:c>
      <x:c r="J9" s="204" t="str">
        <x:v>Reduced motion included</x:v>
      </x:c>
    </x:row>
    <x:row r="10">
      <x:c r="A10" s="204" t="n">
        <x:v>2</x:v>
      </x:c>
      <x:c r="B10" s="204" t="str">
        <x:v>Agent FX packs</x:v>
      </x:c>
      <x:c r="C10" s="204" t="str">
        <x:v>Claude amber + Codex ice</x:v>
      </x:c>
      <x:c r="D10" s="204" t="str">
        <x:v>Asset normalization</x:v>
      </x:c>
      <x:c r="E10" s="204" t="str">
        <x:v>Art + Codex</x:v>
      </x:c>
      <x:c r="F10" s="204" t="str">
        <x:v>P1</x:v>
      </x:c>
      <x:c r="G10" s="204" t="str">
        <x:v>Not Started</x:v>
      </x:c>
      <x:c r="H10" s="204" t="n">
        <x:v>4</x:v>
      </x:c>
      <x:c r="I10" s="204" t="str">
        <x:v>Readable without labels</x:v>
      </x:c>
      <x:c r="J10" s="204" t="str">
        <x:v>Separate geometry/motion</x:v>
      </x:c>
    </x:row>
    <x:row r="11">
      <x:c r="A11" s="204" t="n">
        <x:v>3</x:v>
      </x:c>
      <x:c r="B11" s="204" t="str">
        <x:v>Dual-agent ascension</x:v>
      </x:c>
      <x:c r="C11" s="204" t="str">
        <x:v>Hero orchestration state</x:v>
      </x:c>
      <x:c r="D11" s="204" t="str">
        <x:v>Agent FX packs</x:v>
      </x:c>
      <x:c r="E11" s="204" t="str">
        <x:v>Art + Codex</x:v>
      </x:c>
      <x:c r="F11" s="204" t="str">
        <x:v>P1</x:v>
      </x:c>
      <x:c r="G11" s="204" t="str">
        <x:v>Not Started</x:v>
      </x:c>
      <x:c r="H11" s="204" t="n">
        <x:v>5</x:v>
      </x:c>
      <x:c r="I11" s="204" t="str">
        <x:v>No muddy blending</x:v>
      </x:c>
      <x:c r="J11" s="204" t="str">
        <x:v>Mace is focal point</x:v>
      </x:c>
    </x:row>
    <x:row r="12">
      <x:c r="A12" s="204" t="n">
        <x:v>3</x:v>
      </x:c>
      <x:c r="B12" s="204" t="str">
        <x:v>Audio and TTS hooks</x:v>
      </x:c>
      <x:c r="C12" s="204" t="str">
        <x:v>Cues, bleeps, optional TTS</x:v>
      </x:c>
      <x:c r="D12" s="204" t="str">
        <x:v>Event bridge</x:v>
      </x:c>
      <x:c r="E12" s="204" t="str">
        <x:v>Codex</x:v>
      </x:c>
      <x:c r="F12" s="204" t="str">
        <x:v>P2</x:v>
      </x:c>
      <x:c r="G12" s="204" t="str">
        <x:v>Not Started</x:v>
      </x:c>
      <x:c r="H12" s="204" t="n">
        <x:v>2</x:v>
      </x:c>
      <x:c r="I12" s="204" t="str">
        <x:v>Muted by default</x:v>
      </x:c>
      <x:c r="J12" s="204" t="str">
        <x:v>Respect master volume</x:v>
      </x:c>
    </x:row>
    <x:row r="13">
      <x:c r="A13" s="204" t="n">
        <x:v>4</x:v>
      </x:c>
      <x:c r="B13" s="204" t="str">
        <x:v>Mission Control integration</x:v>
      </x:c>
      <x:c r="C13" s="204" t="str">
        <x:v>Click, double-click, taskbar anchor</x:v>
      </x:c>
      <x:c r="D13" s="204" t="str">
        <x:v>Runtime + bubble</x:v>
      </x:c>
      <x:c r="E13" s="204" t="str">
        <x:v>Codex</x:v>
      </x:c>
      <x:c r="F13" s="204" t="str">
        <x:v>P0</x:v>
      </x:c>
      <x:c r="G13" s="204" t="str">
        <x:v>Not Started</x:v>
      </x:c>
      <x:c r="H13" s="204" t="n">
        <x:v>4</x:v>
      </x:c>
      <x:c r="I13" s="204" t="str">
        <x:v>One-click dialogue; two-click control</x:v>
      </x:c>
      <x:c r="J13" s="204" t="str">
        <x:v>Phone-safe status mirror</x:v>
      </x:c>
    </x:row>
    <x:row r="14">
      <x:c r="A14" s="205" t="n">
        <x:v>5</x:v>
      </x:c>
      <x:c r="B14" s="205" t="str">
        <x:v>QA and soak</x:v>
      </x:c>
      <x:c r="C14" s="205" t="str">
        <x:v>State, performance, accessibility suite</x:v>
      </x:c>
      <x:c r="D14" s="205" t="str">
        <x:v>All</x:v>
      </x:c>
      <x:c r="E14" s="205" t="str">
        <x:v>QA</x:v>
      </x:c>
      <x:c r="F14" s="205" t="str">
        <x:v>P0</x:v>
      </x:c>
      <x:c r="G14" s="205" t="str">
        <x:v>Not Started</x:v>
      </x:c>
      <x:c r="H14" s="205" t="n">
        <x:v>3</x:v>
      </x:c>
      <x:c r="I14" s="205" t="str">
        <x:v>All acceptance criteria green</x:v>
      </x:c>
      <x:c r="J14" s="205" t="str">
        <x:v>Test rapid event storms</x:v>
      </x:c>
    </x:row>
  </x:sheetData>
  <x:mergeCells>
    <x:mergeCell ref="A1:J1"/>
    <x:mergeCell ref="A2:J2"/>
  </x:mergeCells>
  <x:conditionalFormatting sqref="G5:G14">
    <x:cfRule type="containsText" dxfId="5" priority="1" operator="containsText" text="Done"/>
    <x:cfRule type="containsText" dxfId="6" priority="2" operator="containsText" text="Blocked"/>
    <x:cfRule type="containsText" dxfId="7" priority="3" operator="containsText" text="In Progress"/>
  </x:conditionalFormatting>
  <x:dataValidations count="2">
    <x:dataValidation type="list" sqref="G5:G14">
      <x:formula1>"Not Started,In Progress,Blocked,Done"</x:formula1>
    </x:dataValidation>
    <x:dataValidation type="list" sqref="F5:F14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99fba4fe0c6406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44" hidden="0" customWidth="1"/>
    <x:col min="4" max="4" width="44" hidden="0" customWidth="1"/>
    <x:col min="5" max="5" width="16" hidden="0" customWidth="1"/>
    <x:col min="6" max="6" width="16" hidden="0" customWidth="1"/>
    <x:col min="7" max="7" width="34" hidden="0" customWidth="1"/>
    <x:col min="8" max="8" width="16" hidden="0" customWidth="1"/>
  </x:cols>
  <x:sheetData>
    <x:row r="1" ht="34" customHeight="1">
      <x:c r="A1" s="3" t="str">
        <x:v>QA &amp; ACCEPTANCE</x:v>
      </x:c>
      <x:c r="B1" s="3"/>
      <x:c r="C1" s="3"/>
      <x:c r="D1" s="3"/>
      <x:c r="E1" s="3"/>
      <x:c r="F1" s="3"/>
      <x:c r="G1" s="3"/>
      <x:c r="H1" s="3"/>
    </x:row>
    <x:row r="2" ht="22" customHeight="1">
      <x:c r="A2" s="5" t="str">
        <x:v>No animation is complete until it is visually correct, truthful, performant, and accessible</x:v>
      </x:c>
      <x:c r="B2" s="5"/>
      <x:c r="C2" s="5"/>
      <x:c r="D2" s="5"/>
      <x:c r="E2" s="5"/>
      <x:c r="F2" s="5"/>
      <x:c r="G2" s="5"/>
      <x:c r="H2" s="5"/>
    </x:row>
    <x:row r="4" ht="28" customHeight="1">
      <x:c r="A4" s="10" t="str">
        <x:v>ID</x:v>
      </x:c>
      <x:c r="B4" s="10" t="str">
        <x:v>Area</x:v>
      </x:c>
      <x:c r="C4" s="10" t="str">
        <x:v>Test</x:v>
      </x:c>
      <x:c r="D4" s="10" t="str">
        <x:v>Expected result</x:v>
      </x:c>
      <x:c r="E4" s="10" t="str">
        <x:v>Severity</x:v>
      </x:c>
      <x:c r="F4" s="10" t="str">
        <x:v>Status</x:v>
      </x:c>
      <x:c r="G4" s="10" t="str">
        <x:v>Evidence</x:v>
      </x:c>
      <x:c r="H4" s="10" t="str">
        <x:v>Owner</x:v>
      </x:c>
    </x:row>
    <x:row r="5">
      <x:c r="A5" s="203" t="str">
        <x:v>AC-01</x:v>
      </x:c>
      <x:c r="B5" s="203" t="str">
        <x:v>Identity</x:v>
      </x:c>
      <x:c r="C5" s="203" t="str">
        <x:v>Nero remains recognizable at 1x, 2x, and 3x integer scale</x:v>
      </x:c>
      <x:c r="D5" s="203" t="str">
        <x:v>Nero remains recognizable at 1x, 2x, and 3x integer scale</x:v>
      </x:c>
      <x:c r="E5" s="203" t="str">
        <x:v>Blocker</x:v>
      </x:c>
      <x:c r="F5" s="203" t="str">
        <x:v>Not Run</x:v>
      </x:c>
      <x:c r="G5" s="203" t="str"/>
      <x:c r="H5" s="203" t="str">
        <x:v>QA</x:v>
      </x:c>
    </x:row>
    <x:row r="6">
      <x:c r="A6" s="204" t="str">
        <x:v>AC-02</x:v>
      </x:c>
      <x:c r="B6" s="204" t="str">
        <x:v>Identity</x:v>
      </x:c>
      <x:c r="C6" s="204" t="str">
        <x:v>Claude, Codex, and Nero are identifiable without reading labels</x:v>
      </x:c>
      <x:c r="D6" s="204" t="str">
        <x:v>Claude, Codex, and Nero are identifiable without reading labels</x:v>
      </x:c>
      <x:c r="E6" s="204" t="str">
        <x:v>Blocker</x:v>
      </x:c>
      <x:c r="F6" s="204" t="str">
        <x:v>Not Run</x:v>
      </x:c>
      <x:c r="G6" s="204" t="str"/>
      <x:c r="H6" s="204" t="str">
        <x:v>QA</x:v>
      </x:c>
    </x:row>
    <x:row r="7">
      <x:c r="A7" s="204" t="str">
        <x:v>AC-03</x:v>
      </x:c>
      <x:c r="B7" s="204" t="str">
        <x:v>Semantics</x:v>
      </x:c>
      <x:c r="C7" s="204" t="str">
        <x:v>dual-agent mode preserves all three visual identities</x:v>
      </x:c>
      <x:c r="D7" s="204" t="str">
        <x:v>dual-agent mode preserves all three visual identities</x:v>
      </x:c>
      <x:c r="E7" s="204" t="str">
        <x:v>Blocker</x:v>
      </x:c>
      <x:c r="F7" s="204" t="str">
        <x:v>Not Run</x:v>
      </x:c>
      <x:c r="G7" s="204" t="str"/>
      <x:c r="H7" s="204" t="str">
        <x:v>QA</x:v>
      </x:c>
    </x:row>
    <x:row r="8">
      <x:c r="A8" s="204" t="str">
        <x:v>AC-04</x:v>
      </x:c>
      <x:c r="B8" s="204" t="str">
        <x:v>Semantics</x:v>
      </x:c>
      <x:c r="C8" s="204" t="str">
        <x:v>critical states preempt decorative states</x:v>
      </x:c>
      <x:c r="D8" s="204" t="str">
        <x:v>critical states preempt decorative states</x:v>
      </x:c>
      <x:c r="E8" s="204" t="str">
        <x:v>Blocker</x:v>
      </x:c>
      <x:c r="F8" s="204" t="str">
        <x:v>Not Run</x:v>
      </x:c>
      <x:c r="G8" s="204" t="str"/>
      <x:c r="H8" s="204" t="str">
        <x:v>QA</x:v>
      </x:c>
    </x:row>
    <x:row r="9">
      <x:c r="A9" s="204" t="str">
        <x:v>AC-05</x:v>
      </x:c>
      <x:c r="B9" s="204" t="str">
        <x:v>Reliability</x:v>
      </x:c>
      <x:c r="C9" s="204" t="str">
        <x:v>every missing asset falls back to idle_breathe without crashing</x:v>
      </x:c>
      <x:c r="D9" s="204" t="str">
        <x:v>every missing asset falls back to idle_breathe without crashing</x:v>
      </x:c>
      <x:c r="E9" s="204" t="str">
        <x:v>Blocker</x:v>
      </x:c>
      <x:c r="F9" s="204" t="str">
        <x:v>Not Run</x:v>
      </x:c>
      <x:c r="G9" s="204" t="str"/>
      <x:c r="H9" s="204" t="str">
        <x:v>QA</x:v>
      </x:c>
    </x:row>
    <x:row r="10">
      <x:c r="A10" s="204" t="str">
        <x:v>AC-06</x:v>
      </x:c>
      <x:c r="B10" s="204" t="str">
        <x:v>Reliability</x:v>
      </x:c>
      <x:c r="C10" s="204" t="str">
        <x:v>no animation falsely reports completion</x:v>
      </x:c>
      <x:c r="D10" s="204" t="str">
        <x:v>no animation falsely reports completion</x:v>
      </x:c>
      <x:c r="E10" s="204" t="str">
        <x:v>Blocker</x:v>
      </x:c>
      <x:c r="F10" s="204" t="str">
        <x:v>Not Run</x:v>
      </x:c>
      <x:c r="G10" s="204" t="str"/>
      <x:c r="H10" s="204" t="str">
        <x:v>QA</x:v>
      </x:c>
    </x:row>
    <x:row r="11">
      <x:c r="A11" s="204" t="str">
        <x:v>AC-07</x:v>
      </x:c>
      <x:c r="B11" s="204" t="str">
        <x:v>Accessibility</x:v>
      </x:c>
      <x:c r="C11" s="204" t="str">
        <x:v>reduced-motion mode retains all semantic information</x:v>
      </x:c>
      <x:c r="D11" s="204" t="str">
        <x:v>reduced-motion mode retains all semantic information</x:v>
      </x:c>
      <x:c r="E11" s="204" t="str">
        <x:v>Blocker</x:v>
      </x:c>
      <x:c r="F11" s="204" t="str">
        <x:v>Not Run</x:v>
      </x:c>
      <x:c r="G11" s="204" t="str"/>
      <x:c r="H11" s="204" t="str">
        <x:v>QA</x:v>
      </x:c>
    </x:row>
    <x:row r="12">
      <x:c r="A12" s="204" t="str">
        <x:v>AC-08</x:v>
      </x:c>
      <x:c r="B12" s="204" t="str">
        <x:v>Accessibility</x:v>
      </x:c>
      <x:c r="C12" s="204" t="str">
        <x:v>sprite crop map is verified before production slicing</x:v>
      </x:c>
      <x:c r="D12" s="204" t="str">
        <x:v>sprite crop map is verified before production slicing</x:v>
      </x:c>
      <x:c r="E12" s="204" t="str">
        <x:v>Blocker</x:v>
      </x:c>
      <x:c r="F12" s="204" t="str">
        <x:v>Not Run</x:v>
      </x:c>
      <x:c r="G12" s="204" t="str"/>
      <x:c r="H12" s="204" t="str">
        <x:v>QA</x:v>
      </x:c>
    </x:row>
    <x:row r="13">
      <x:c r="A13" s="204" t="str">
        <x:v>AC-09</x:v>
      </x:c>
      <x:c r="B13" s="204" t="str">
        <x:v>Performance</x:v>
      </x:c>
      <x:c r="C13" s="204" t="str">
        <x:v>60-second dual-agent soak</x:v>
      </x:c>
      <x:c r="D13" s="204" t="str">
        <x:v>No hitch above 50 ms; emitter budget respected</x:v>
      </x:c>
      <x:c r="E13" s="204" t="str">
        <x:v>High</x:v>
      </x:c>
      <x:c r="F13" s="204" t="str">
        <x:v>Not Run</x:v>
      </x:c>
      <x:c r="G13" s="204" t="str"/>
      <x:c r="H13" s="204" t="str">
        <x:v>QA</x:v>
      </x:c>
    </x:row>
    <x:row r="14">
      <x:c r="A14" s="204" t="str">
        <x:v>AC-10</x:v>
      </x:c>
      <x:c r="B14" s="204" t="str">
        <x:v>Sprites</x:v>
      </x:c>
      <x:c r="C14" s="204" t="str">
        <x:v>Inspect every crop rectangle</x:v>
      </x:c>
      <x:c r="D14" s="204" t="str">
        <x:v>No clipping, jitter, or mixed-frame bounds</x:v>
      </x:c>
      <x:c r="E14" s="204" t="str">
        <x:v>Blocker</x:v>
      </x:c>
      <x:c r="F14" s="204" t="str">
        <x:v>Not Run</x:v>
      </x:c>
      <x:c r="G14" s="204" t="str"/>
      <x:c r="H14" s="204" t="str">
        <x:v>Art + QA</x:v>
      </x:c>
    </x:row>
    <x:row r="15">
      <x:c r="A15" s="204" t="str">
        <x:v>AC-11</x:v>
      </x:c>
      <x:c r="B15" s="204" t="str">
        <x:v>UI</x:v>
      </x:c>
      <x:c r="C15" s="204" t="str">
        <x:v>Bubble grows from 1 to 10 lines</x:v>
      </x:c>
      <x:c r="D15" s="204" t="str">
        <x:v>No clipping; scrolling begins after line 10</x:v>
      </x:c>
      <x:c r="E15" s="204" t="str">
        <x:v>High</x:v>
      </x:c>
      <x:c r="F15" s="204" t="str">
        <x:v>Not Run</x:v>
      </x:c>
      <x:c r="G15" s="204" t="str"/>
      <x:c r="H15" s="204" t="str">
        <x:v>QA</x:v>
      </x:c>
    </x:row>
    <x:row r="16">
      <x:c r="A16" s="205" t="str">
        <x:v>AC-12</x:v>
      </x:c>
      <x:c r="B16" s="205" t="str">
        <x:v>Safety</x:v>
      </x:c>
      <x:c r="C16" s="205" t="str">
        <x:v>Rapid critical event during success</x:v>
      </x:c>
      <x:c r="D16" s="205" t="str">
        <x:v>Critical interrupts; success resumes or expires honestly</x:v>
      </x:c>
      <x:c r="E16" s="205" t="str">
        <x:v>Blocker</x:v>
      </x:c>
      <x:c r="F16" s="205" t="str">
        <x:v>Not Run</x:v>
      </x:c>
      <x:c r="G16" s="205" t="str"/>
      <x:c r="H16" s="205" t="str">
        <x:v>QA</x:v>
      </x:c>
    </x:row>
  </x:sheetData>
  <x:mergeCells>
    <x:mergeCell ref="A1:H1"/>
    <x:mergeCell ref="A2:H2"/>
  </x:mergeCells>
  <x:conditionalFormatting sqref="F5:F16">
    <x:cfRule type="containsText" dxfId="8" priority="1" operator="containsText" text="Pass"/>
    <x:cfRule type="containsText" dxfId="9" priority="2" operator="containsText" text="Fail"/>
    <x:cfRule type="containsText" dxfId="10" priority="3" operator="containsText" text="Blocked"/>
  </x:conditionalFormatting>
  <x:dataValidations count="1">
    <x:dataValidation type="list" sqref="F5:F16">
      <x:formula1>"Not Run,Pass,Fail,Blocked"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70ef7fbcf004f2b"/>
  </x:tableParts>
</x:worksheet>
</file>